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237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<sst xmlns="http://schemas.openxmlformats.org/spreadsheetml/2006/main" count="153" uniqueCount="45">
  <si>
    <t>站名</t>
  </si>
  <si>
    <r>
      <rPr>
        <sz val="10.5"/>
        <color rgb="FF000000"/>
        <rFont val="Calibri"/>
        <charset val="204"/>
      </rPr>
      <t xml:space="preserve">   </t>
    </r>
    <r>
      <rPr>
        <sz val="10.5"/>
        <color rgb="FF000000"/>
        <rFont val="宋体"/>
        <charset val="204"/>
      </rPr>
      <t>月份</t>
    </r>
  </si>
  <si>
    <r>
      <rPr>
        <sz val="11"/>
        <color rgb="FF000000"/>
        <rFont val="Arial"/>
        <charset val="204"/>
      </rPr>
      <t>α</t>
    </r>
    <r>
      <rPr>
        <sz val="11"/>
        <color rgb="FF000000"/>
        <rFont val="宋体"/>
        <charset val="204"/>
      </rPr>
      <t>、</t>
    </r>
    <r>
      <rPr>
        <sz val="11"/>
        <color rgb="FF000000"/>
        <rFont val="Arial"/>
        <charset val="204"/>
      </rPr>
      <t>Ψw</t>
    </r>
    <r>
      <rPr>
        <sz val="11"/>
        <color rgb="FF000000"/>
        <rFont val="宋体"/>
        <charset val="204"/>
      </rPr>
      <t>、</t>
    </r>
    <r>
      <rPr>
        <sz val="11"/>
        <color rgb="FF000000"/>
        <rFont val="Arial"/>
        <charset val="204"/>
      </rPr>
      <t>∑</t>
    </r>
    <r>
      <rPr>
        <sz val="11"/>
        <color rgb="FF000000"/>
        <rFont val="宋体"/>
        <charset val="204"/>
      </rPr>
      <t>c</t>
    </r>
  </si>
  <si>
    <t>da (m)</t>
  </si>
  <si>
    <t>项别</t>
  </si>
  <si>
    <t>汉中</t>
  </si>
  <si>
    <t>蒸发力</t>
  </si>
  <si>
    <t>降水量</t>
  </si>
  <si>
    <t>c</t>
  </si>
  <si>
    <t>安康</t>
  </si>
  <si>
    <t>通州</t>
  </si>
  <si>
    <t>唐山</t>
  </si>
  <si>
    <t>泰安</t>
  </si>
  <si>
    <t>兖州</t>
  </si>
  <si>
    <t>临沂</t>
  </si>
  <si>
    <t>文登</t>
  </si>
  <si>
    <t>南京</t>
  </si>
  <si>
    <t>蚌埠</t>
  </si>
  <si>
    <t>合肥</t>
  </si>
  <si>
    <t>巢湖</t>
  </si>
  <si>
    <t>许昌</t>
  </si>
  <si>
    <t>南阳</t>
  </si>
  <si>
    <t>郧阳</t>
  </si>
  <si>
    <t>钟祥</t>
  </si>
  <si>
    <t>江陵荆州</t>
  </si>
  <si>
    <t>全州</t>
  </si>
  <si>
    <t>桂林</t>
  </si>
  <si>
    <t>百色</t>
  </si>
  <si>
    <t>田东</t>
  </si>
  <si>
    <t>贵港</t>
  </si>
  <si>
    <t>南宁</t>
  </si>
  <si>
    <t>上思</t>
  </si>
  <si>
    <t>来宾</t>
  </si>
  <si>
    <r>
      <rPr>
        <sz val="10.5"/>
        <color rgb="FF000000"/>
        <rFont val="宋体"/>
        <charset val="204"/>
      </rPr>
      <t>韶关</t>
    </r>
    <r>
      <rPr>
        <sz val="10.5"/>
        <color rgb="FF000000"/>
        <rFont val="Calibri"/>
        <charset val="204"/>
      </rPr>
      <t>(</t>
    </r>
    <r>
      <rPr>
        <sz val="10.5"/>
        <color rgb="FF000000"/>
        <rFont val="宋体"/>
        <charset val="204"/>
      </rPr>
      <t>曲江)</t>
    </r>
  </si>
  <si>
    <t>广州</t>
  </si>
  <si>
    <t>湛江</t>
  </si>
  <si>
    <t>绵阳</t>
  </si>
  <si>
    <t>成都</t>
  </si>
  <si>
    <t>昭通</t>
  </si>
  <si>
    <t>昆明</t>
  </si>
  <si>
    <t>开远</t>
  </si>
  <si>
    <t>元江</t>
  </si>
  <si>
    <t>文山</t>
  </si>
  <si>
    <t>蒙自</t>
  </si>
  <si>
    <t>贵阳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</si>
</sst>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5">
    <font>
      <sz val="11"/>
      <color rgb="FF000000"/>
      <name val="Arial"/>
      <charset val="204"/>
    </font>
    <font>
      <sz val="10.5"/>
      <color rgb="FF000000"/>
      <name val="宋体"/>
      <charset val="204"/>
    </font>
    <font>
      <sz val="10.5"/>
      <color rgb="FF000000"/>
      <name val="Calibri"/>
      <charset val="204"/>
    </font>
    <font>
      <sz val="11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 wrapText="1"/>
    </xf>
    <xf numFmtId="177" fontId="0" fillId="0" borderId="0" xfId="0" applyNumberForma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top" wrapText="1"/>
    </xf>
    <xf numFmtId="0" fontId="0" fillId="0" borderId="0" xfId="0" applyNumberFormat="1" applyFill="1" applyBorder="1" applyAlignment="1">
      <alignment horizontal="center" vertical="top" wrapText="1"/>
    </xf>
    <xf numFmtId="177" fontId="3" fillId="0" borderId="0" xfId="0" applyNumberFormat="1" applyFont="1" applyFill="1" applyAlignment="1">
      <alignment horizontal="center" vertical="center" wrapText="1"/>
    </xf>
    <xf numFmtId="177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22"/>
  <sheetViews>
    <sheetView tabSelected="1" zoomScale="85" zoomScaleNormal="85" workbookViewId="0">
      <selection activeCell="A1" sqref="A1:A2"/>
    </sheetView>
  </sheetViews>
  <sheetFormatPr defaultColWidth="9" defaultRowHeight="14.25"/>
  <cols>
    <col min="1" max="14" width="9" style="1"/>
    <col min="15" max="15" width="12.625" style="2"/>
    <col min="16" max="16" width="13.75" style="3"/>
    <col min="17" max="18" width="9" style="1"/>
    <col min="19" max="19" width="12.625" style="1"/>
    <col min="20" max="16384" width="9" style="1"/>
  </cols>
  <sheetData>
    <row r="1" spans="1:16">
      <c r="A1" s="4" t="s">
        <v>0</v>
      </c>
      <c r="B1" s="5" t="s">
        <v>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6" t="s">
        <v>2</v>
      </c>
      <c r="P1" s="7" t="s">
        <v>3</v>
      </c>
    </row>
    <row r="2" spans="1:23">
      <c r="A2" s="4"/>
      <c r="B2" s="4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7"/>
      <c r="V2" s="1">
        <v>0.4</v>
      </c>
      <c r="W2" s="1">
        <v>5</v>
      </c>
    </row>
    <row r="3" ht="18" customHeight="1" spans="1:23">
      <c r="A3" s="4" t="s">
        <v>5</v>
      </c>
      <c r="B3" s="4" t="s">
        <v>6</v>
      </c>
      <c r="C3" s="5">
        <v>14.2</v>
      </c>
      <c r="D3" s="5">
        <v>20.6</v>
      </c>
      <c r="E3" s="5">
        <v>43.6</v>
      </c>
      <c r="F3" s="5">
        <v>60.3</v>
      </c>
      <c r="G3" s="5">
        <v>94.1</v>
      </c>
      <c r="H3" s="5">
        <v>114.8</v>
      </c>
      <c r="I3" s="5">
        <v>121.5</v>
      </c>
      <c r="J3" s="5">
        <v>118.1</v>
      </c>
      <c r="K3" s="5">
        <v>57.4</v>
      </c>
      <c r="L3" s="5">
        <v>39</v>
      </c>
      <c r="M3" s="5">
        <v>17.6</v>
      </c>
      <c r="N3" s="5">
        <v>11.9</v>
      </c>
      <c r="O3" s="8">
        <f>(C3+D3+K3+L3+M3+N3)/SUM(C3:N3)</f>
        <v>0.225354087785724</v>
      </c>
      <c r="P3" s="7" cm="1">
        <f t="array" ref="P3">TREND(S3:S4,R3:R4,O4)</f>
        <v>3</v>
      </c>
      <c r="R3" s="1" cm="1">
        <f t="array" ref="R3">INDEX(V$2:V$8,MATCH(O4,V$2:V$8))</f>
        <v>0.9</v>
      </c>
      <c r="S3" s="1" cm="1">
        <f t="array" ref="S3">INDEX(W$2:W$8,MATCH(O4,V$2:V$8))</f>
        <v>3</v>
      </c>
      <c r="V3" s="1">
        <v>0.5</v>
      </c>
      <c r="W3" s="1">
        <v>5</v>
      </c>
    </row>
    <row r="4" spans="1:23">
      <c r="A4" s="4"/>
      <c r="B4" s="4" t="s">
        <v>7</v>
      </c>
      <c r="C4" s="5">
        <v>7.5</v>
      </c>
      <c r="D4" s="5">
        <v>10.7</v>
      </c>
      <c r="E4" s="5">
        <v>32.2</v>
      </c>
      <c r="F4" s="5">
        <v>68.1</v>
      </c>
      <c r="G4" s="5">
        <v>86.6</v>
      </c>
      <c r="H4" s="5">
        <v>110.2</v>
      </c>
      <c r="I4" s="5">
        <v>158</v>
      </c>
      <c r="J4" s="5">
        <v>141.7</v>
      </c>
      <c r="K4" s="5">
        <v>146.9</v>
      </c>
      <c r="L4" s="5">
        <v>80.3</v>
      </c>
      <c r="M4" s="5">
        <v>38</v>
      </c>
      <c r="N4" s="5">
        <v>9.3</v>
      </c>
      <c r="O4" s="8">
        <f>ROUND(1.152-0.726*O3-0.00107*O5,4)</f>
        <v>0.9427</v>
      </c>
      <c r="P4" s="7"/>
      <c r="R4" s="1" cm="1">
        <f t="array" ref="R4">INDEX(V$2:V$8,MATCH(O4,V$2:V$8)+1)</f>
        <v>1</v>
      </c>
      <c r="S4" s="1" cm="1">
        <f t="array" ref="S4">INDEX(W$2:W$8,MATCH(O4,V$2:V$8)+1)</f>
        <v>3</v>
      </c>
      <c r="V4" s="1">
        <v>0.6</v>
      </c>
      <c r="W4" s="1">
        <v>5</v>
      </c>
    </row>
    <row r="5" ht="18" customHeight="1" spans="1:23">
      <c r="A5" s="4"/>
      <c r="B5" s="4" t="s">
        <v>8</v>
      </c>
      <c r="C5" s="5">
        <f t="shared" ref="C5:N5" si="0">IF((C3-C4)&gt;0,C3-C4,0)</f>
        <v>6.7</v>
      </c>
      <c r="D5" s="5">
        <f t="shared" si="0"/>
        <v>9.9</v>
      </c>
      <c r="E5" s="5">
        <f t="shared" si="0"/>
        <v>11.4</v>
      </c>
      <c r="F5" s="5">
        <f t="shared" si="0"/>
        <v>0</v>
      </c>
      <c r="G5" s="5">
        <f t="shared" si="0"/>
        <v>7.5</v>
      </c>
      <c r="H5" s="5">
        <f t="shared" si="0"/>
        <v>4.59999999999999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2.6</v>
      </c>
      <c r="O5" s="9">
        <f>SUM(C5:N5)</f>
        <v>42.7</v>
      </c>
      <c r="P5" s="7"/>
      <c r="V5" s="1">
        <v>0.7</v>
      </c>
      <c r="W5" s="1">
        <v>4</v>
      </c>
    </row>
    <row r="6" ht="18" customHeight="1" spans="1:23">
      <c r="A6" s="4" t="s">
        <v>9</v>
      </c>
      <c r="B6" s="4" t="s">
        <v>6</v>
      </c>
      <c r="C6" s="5">
        <v>18.5</v>
      </c>
      <c r="D6" s="5">
        <v>27</v>
      </c>
      <c r="E6" s="5">
        <v>51</v>
      </c>
      <c r="F6" s="5">
        <v>67.3</v>
      </c>
      <c r="G6" s="5">
        <v>98.3</v>
      </c>
      <c r="H6" s="5">
        <v>122.8</v>
      </c>
      <c r="I6" s="5">
        <v>132.6</v>
      </c>
      <c r="J6" s="5">
        <v>131.9</v>
      </c>
      <c r="K6" s="5">
        <v>67.2</v>
      </c>
      <c r="L6" s="5">
        <v>43.9</v>
      </c>
      <c r="M6" s="5">
        <v>20.6</v>
      </c>
      <c r="N6" s="5">
        <v>16.3</v>
      </c>
      <c r="O6" s="8">
        <f>(C6+D6+K6+L6+M6+N6)/SUM(C6:N6)</f>
        <v>0.242663656884876</v>
      </c>
      <c r="P6" s="7" cm="1">
        <f t="array" ref="P6">ROUND(TREND(S6:S7,R6:R7,O7),2)</f>
        <v>3.35</v>
      </c>
      <c r="R6" s="1" cm="1">
        <f t="array" ref="R6">INDEX(V$2:V$8,MATCH(O7,V$2:V$8))</f>
        <v>0.8</v>
      </c>
      <c r="S6" s="1" cm="1">
        <f t="array" ref="S6">INDEX(W$2:W$8,MATCH(O7,V$2:V$8))</f>
        <v>3.5</v>
      </c>
      <c r="V6" s="1">
        <v>0.8</v>
      </c>
      <c r="W6" s="1">
        <v>3.5</v>
      </c>
    </row>
    <row r="7" spans="1:23">
      <c r="A7" s="4"/>
      <c r="B7" s="4" t="s">
        <v>7</v>
      </c>
      <c r="C7" s="5">
        <v>4.4</v>
      </c>
      <c r="D7" s="5">
        <v>11.1</v>
      </c>
      <c r="E7" s="5">
        <v>33.2</v>
      </c>
      <c r="F7" s="5">
        <v>80.8</v>
      </c>
      <c r="G7" s="5">
        <v>88.5</v>
      </c>
      <c r="H7" s="5">
        <v>78.6</v>
      </c>
      <c r="I7" s="5">
        <v>120.7</v>
      </c>
      <c r="J7" s="5">
        <v>118.7</v>
      </c>
      <c r="K7" s="5">
        <v>133.7</v>
      </c>
      <c r="L7" s="5">
        <v>70.2</v>
      </c>
      <c r="M7" s="5">
        <v>32.8</v>
      </c>
      <c r="N7" s="5">
        <v>7</v>
      </c>
      <c r="O7" s="8">
        <f>ROUND(1.152-0.726*O6-0.00107*O8,4)</f>
        <v>0.8301</v>
      </c>
      <c r="P7" s="7"/>
      <c r="R7" s="1" cm="1">
        <f t="array" ref="R7">INDEX(V$2:V$8,MATCH(O7,V$2:V$8)+1)</f>
        <v>0.9</v>
      </c>
      <c r="S7" s="1" cm="1">
        <f t="array" ref="S7">INDEX(W$2:W$8,MATCH(O7,V$2:V$8)+1)</f>
        <v>3</v>
      </c>
      <c r="V7" s="1">
        <v>0.9</v>
      </c>
      <c r="W7" s="1">
        <v>3</v>
      </c>
    </row>
    <row r="8" ht="18" customHeight="1" spans="1:23">
      <c r="A8" s="4"/>
      <c r="B8" s="4" t="s">
        <v>8</v>
      </c>
      <c r="C8" s="5">
        <f t="shared" ref="C8:N8" si="1">IF((C6-C7)&gt;0,C6-C7,0)</f>
        <v>14.1</v>
      </c>
      <c r="D8" s="5">
        <f t="shared" si="1"/>
        <v>15.9</v>
      </c>
      <c r="E8" s="5">
        <f t="shared" si="1"/>
        <v>17.8</v>
      </c>
      <c r="F8" s="5">
        <f t="shared" si="1"/>
        <v>0</v>
      </c>
      <c r="G8" s="5">
        <f t="shared" si="1"/>
        <v>9.8</v>
      </c>
      <c r="H8" s="5">
        <f t="shared" si="1"/>
        <v>44.2</v>
      </c>
      <c r="I8" s="5">
        <f t="shared" si="1"/>
        <v>11.9</v>
      </c>
      <c r="J8" s="5">
        <f t="shared" si="1"/>
        <v>13.2</v>
      </c>
      <c r="K8" s="5">
        <f t="shared" si="1"/>
        <v>0</v>
      </c>
      <c r="L8" s="5">
        <f t="shared" si="1"/>
        <v>0</v>
      </c>
      <c r="M8" s="5">
        <f t="shared" si="1"/>
        <v>0</v>
      </c>
      <c r="N8" s="5">
        <f t="shared" si="1"/>
        <v>9.3</v>
      </c>
      <c r="O8" s="9">
        <f>SUM(C8:N8)</f>
        <v>136.2</v>
      </c>
      <c r="P8" s="7"/>
      <c r="V8" s="1">
        <v>1</v>
      </c>
      <c r="W8" s="1">
        <v>3</v>
      </c>
    </row>
    <row r="9" ht="18" customHeight="1" spans="1:19">
      <c r="A9" s="4" t="s">
        <v>10</v>
      </c>
      <c r="B9" s="4" t="s">
        <v>6</v>
      </c>
      <c r="C9" s="5">
        <v>15.6</v>
      </c>
      <c r="D9" s="5">
        <v>21.5</v>
      </c>
      <c r="E9" s="5">
        <v>51</v>
      </c>
      <c r="F9" s="5">
        <v>87.3</v>
      </c>
      <c r="G9" s="5">
        <v>136.9</v>
      </c>
      <c r="H9" s="5">
        <v>144</v>
      </c>
      <c r="I9" s="5">
        <v>130.5</v>
      </c>
      <c r="J9" s="5">
        <v>111.2</v>
      </c>
      <c r="K9" s="5">
        <v>74.4</v>
      </c>
      <c r="L9" s="5">
        <v>44.6</v>
      </c>
      <c r="M9" s="5">
        <v>20.1</v>
      </c>
      <c r="N9" s="5">
        <v>12.3</v>
      </c>
      <c r="O9" s="8">
        <f>(C9+D9+K9+L9+M9+N9)/SUM(C9:N9)</f>
        <v>0.221921356251472</v>
      </c>
      <c r="P9" s="10" cm="1">
        <f t="array" ref="P9">ROUND(TREND(S9:S10,R9:R10,O10),2)</f>
        <v>5</v>
      </c>
      <c r="R9" s="1" cm="1">
        <f t="array" ref="R9">INDEX(V$2:V$8,MATCH(O10,V$2:V$8))</f>
        <v>0.6</v>
      </c>
      <c r="S9" s="1" cm="1">
        <f t="array" ref="S9">INDEX(W$2:W$8,MATCH(O10,V$2:V$8))</f>
        <v>5</v>
      </c>
    </row>
    <row r="10" spans="1:19">
      <c r="A10" s="4"/>
      <c r="B10" s="4" t="s">
        <v>7</v>
      </c>
      <c r="C10" s="5">
        <v>2.7</v>
      </c>
      <c r="D10" s="5">
        <v>7.7</v>
      </c>
      <c r="E10" s="5">
        <v>9.2</v>
      </c>
      <c r="F10" s="5">
        <v>22.7</v>
      </c>
      <c r="G10" s="5">
        <v>35.6</v>
      </c>
      <c r="H10" s="5">
        <v>70.6</v>
      </c>
      <c r="I10" s="5">
        <v>197.1</v>
      </c>
      <c r="J10" s="5">
        <v>243.5</v>
      </c>
      <c r="K10" s="5">
        <v>64</v>
      </c>
      <c r="L10" s="5">
        <v>21</v>
      </c>
      <c r="M10" s="5">
        <v>7.8</v>
      </c>
      <c r="N10" s="5">
        <v>1.6</v>
      </c>
      <c r="O10" s="8">
        <f>ROUND(1.152-0.726*O9-0.00107*O11,4)</f>
        <v>0.6005</v>
      </c>
      <c r="P10" s="10"/>
      <c r="R10" s="1" cm="1">
        <f t="array" ref="R10">INDEX(V$2:V$8,MATCH(O10,V$2:V$8)+1)</f>
        <v>0.7</v>
      </c>
      <c r="S10" s="1" cm="1">
        <f t="array" ref="S10">INDEX(W$2:W$8,MATCH(O10,V$2:V$8)+1)</f>
        <v>4</v>
      </c>
    </row>
    <row r="11" ht="18" customHeight="1" spans="1:16">
      <c r="A11" s="4"/>
      <c r="B11" s="4" t="s">
        <v>8</v>
      </c>
      <c r="C11" s="5">
        <f t="shared" ref="C11:N11" si="2">IF((C9-C10)&gt;0,C9-C10,0)</f>
        <v>12.9</v>
      </c>
      <c r="D11" s="5">
        <f t="shared" si="2"/>
        <v>13.8</v>
      </c>
      <c r="E11" s="5">
        <f t="shared" si="2"/>
        <v>41.8</v>
      </c>
      <c r="F11" s="5">
        <f t="shared" si="2"/>
        <v>64.6</v>
      </c>
      <c r="G11" s="5">
        <f t="shared" si="2"/>
        <v>101.3</v>
      </c>
      <c r="H11" s="5">
        <f t="shared" si="2"/>
        <v>73.4</v>
      </c>
      <c r="I11" s="5">
        <f t="shared" si="2"/>
        <v>0</v>
      </c>
      <c r="J11" s="5">
        <f t="shared" si="2"/>
        <v>0</v>
      </c>
      <c r="K11" s="5">
        <f t="shared" si="2"/>
        <v>10.4</v>
      </c>
      <c r="L11" s="5">
        <f t="shared" si="2"/>
        <v>23.6</v>
      </c>
      <c r="M11" s="5">
        <f t="shared" si="2"/>
        <v>12.3</v>
      </c>
      <c r="N11" s="5">
        <f t="shared" si="2"/>
        <v>10.7</v>
      </c>
      <c r="O11" s="9">
        <f>SUM(C11:N11)</f>
        <v>364.8</v>
      </c>
      <c r="P11" s="10"/>
    </row>
    <row r="12" ht="18" customHeight="1" spans="1:19">
      <c r="A12" s="4" t="s">
        <v>11</v>
      </c>
      <c r="B12" s="4" t="s">
        <v>6</v>
      </c>
      <c r="C12" s="5">
        <v>14.3</v>
      </c>
      <c r="D12" s="5">
        <v>20.3</v>
      </c>
      <c r="E12" s="5">
        <v>49.8</v>
      </c>
      <c r="F12" s="5">
        <v>83</v>
      </c>
      <c r="G12" s="5">
        <v>138.8</v>
      </c>
      <c r="H12" s="5">
        <v>140.8</v>
      </c>
      <c r="I12" s="5">
        <v>126.2</v>
      </c>
      <c r="J12" s="5">
        <v>112.4</v>
      </c>
      <c r="K12" s="5">
        <v>75.5</v>
      </c>
      <c r="L12" s="5">
        <v>45.5</v>
      </c>
      <c r="M12" s="5">
        <v>20.4</v>
      </c>
      <c r="N12" s="5">
        <v>19.1</v>
      </c>
      <c r="O12" s="8">
        <f>(C12+D12+K12+L12+M12+N12)/SUM(C12:N12)</f>
        <v>0.230587401016428</v>
      </c>
      <c r="P12" s="7" cm="1">
        <f t="array" ref="P12">ROUND(TREND(S12:S13,R12:R13,O13),2)</f>
        <v>5</v>
      </c>
      <c r="R12" s="1" cm="1">
        <f t="array" ref="R12">INDEX(V$2:V$8,MATCH(O13,V$2:V$8))</f>
        <v>0.5</v>
      </c>
      <c r="S12" s="1" cm="1">
        <f t="array" ref="S12">INDEX(W$2:W$8,MATCH(O13,V$2:V$8))</f>
        <v>5</v>
      </c>
    </row>
    <row r="13" spans="1:19">
      <c r="A13" s="4"/>
      <c r="B13" s="4" t="s">
        <v>7</v>
      </c>
      <c r="C13" s="5">
        <v>2.1</v>
      </c>
      <c r="D13" s="5">
        <v>6.2</v>
      </c>
      <c r="E13" s="5">
        <v>6.5</v>
      </c>
      <c r="F13" s="5">
        <v>27.2</v>
      </c>
      <c r="G13" s="5">
        <v>24.3</v>
      </c>
      <c r="H13" s="5">
        <v>64.4</v>
      </c>
      <c r="I13" s="5">
        <v>224.8</v>
      </c>
      <c r="J13" s="5">
        <v>196.5</v>
      </c>
      <c r="K13" s="5">
        <v>46.2</v>
      </c>
      <c r="L13" s="5">
        <v>22.5</v>
      </c>
      <c r="M13" s="5">
        <v>6.9</v>
      </c>
      <c r="N13" s="5">
        <v>4</v>
      </c>
      <c r="O13" s="8">
        <f>ROUND(1.152-0.726*O12-0.00107*O14,4)</f>
        <v>0.5596</v>
      </c>
      <c r="P13" s="7"/>
      <c r="R13" s="1" cm="1">
        <f t="array" ref="R13">INDEX(V$2:V$8,MATCH(O13,V$2:V$8)+1)</f>
        <v>0.6</v>
      </c>
      <c r="S13" s="1" cm="1">
        <f t="array" ref="S13">INDEX(W$2:W$8,MATCH(O13,V$2:V$8)+1)</f>
        <v>5</v>
      </c>
    </row>
    <row r="14" spans="1:16">
      <c r="A14" s="4"/>
      <c r="B14" s="4" t="s">
        <v>8</v>
      </c>
      <c r="C14" s="5">
        <f t="shared" ref="C14:N14" si="3">IF((C12-C13)&gt;0,C12-C13,0)</f>
        <v>12.2</v>
      </c>
      <c r="D14" s="5">
        <f t="shared" si="3"/>
        <v>14.1</v>
      </c>
      <c r="E14" s="5">
        <f t="shared" si="3"/>
        <v>43.3</v>
      </c>
      <c r="F14" s="5">
        <f t="shared" si="3"/>
        <v>55.8</v>
      </c>
      <c r="G14" s="5">
        <f t="shared" si="3"/>
        <v>114.5</v>
      </c>
      <c r="H14" s="5">
        <f t="shared" si="3"/>
        <v>76.4</v>
      </c>
      <c r="I14" s="5">
        <f t="shared" si="3"/>
        <v>0</v>
      </c>
      <c r="J14" s="5">
        <f t="shared" si="3"/>
        <v>0</v>
      </c>
      <c r="K14" s="5">
        <f t="shared" si="3"/>
        <v>29.3</v>
      </c>
      <c r="L14" s="5">
        <f t="shared" si="3"/>
        <v>23</v>
      </c>
      <c r="M14" s="5">
        <f t="shared" si="3"/>
        <v>13.5</v>
      </c>
      <c r="N14" s="5">
        <f t="shared" si="3"/>
        <v>15.1</v>
      </c>
      <c r="O14" s="9">
        <f>SUM(C14:N14)</f>
        <v>397.2</v>
      </c>
      <c r="P14" s="7"/>
    </row>
    <row r="15" ht="18" customHeight="1" spans="1:19">
      <c r="A15" s="4" t="s">
        <v>12</v>
      </c>
      <c r="B15" s="4" t="s">
        <v>6</v>
      </c>
      <c r="C15" s="5">
        <v>16.8</v>
      </c>
      <c r="D15" s="5">
        <v>24.9</v>
      </c>
      <c r="E15" s="5">
        <v>56.8</v>
      </c>
      <c r="F15" s="5">
        <v>85.6</v>
      </c>
      <c r="G15" s="5">
        <v>132.5</v>
      </c>
      <c r="H15" s="5">
        <v>148.1</v>
      </c>
      <c r="I15" s="5">
        <v>133.8</v>
      </c>
      <c r="J15" s="5">
        <v>123.6</v>
      </c>
      <c r="K15" s="5">
        <v>78.5</v>
      </c>
      <c r="L15" s="5">
        <v>54.6</v>
      </c>
      <c r="M15" s="5">
        <v>23.8</v>
      </c>
      <c r="N15" s="5">
        <v>14.2</v>
      </c>
      <c r="O15" s="8">
        <f>(C15+D15+K15+L15+M15+N15)/SUM(C15:N15)</f>
        <v>0.238244514106583</v>
      </c>
      <c r="P15" s="7" cm="1">
        <f t="array" ref="P15">ROUND(TREND(S15:S16,R15:R16,O16),2)</f>
        <v>4.46</v>
      </c>
      <c r="R15" s="1" cm="1">
        <f t="array" ref="R15">INDEX(V$2:V$8,MATCH(O16,V$2:V$8))</f>
        <v>0.6</v>
      </c>
      <c r="S15" s="1" cm="1">
        <f t="array" ref="S15">INDEX(W$2:W$8,MATCH(O16,V$2:V$8))</f>
        <v>5</v>
      </c>
    </row>
    <row r="16" spans="1:19">
      <c r="A16" s="4"/>
      <c r="B16" s="4" t="s">
        <v>7</v>
      </c>
      <c r="C16" s="5">
        <v>5.5</v>
      </c>
      <c r="D16" s="5">
        <v>8.7</v>
      </c>
      <c r="E16" s="5">
        <v>16.5</v>
      </c>
      <c r="F16" s="5">
        <v>36.8</v>
      </c>
      <c r="G16" s="5">
        <v>42.4</v>
      </c>
      <c r="H16" s="5">
        <v>87.4</v>
      </c>
      <c r="I16" s="5">
        <v>228.8</v>
      </c>
      <c r="J16" s="5">
        <v>163.2</v>
      </c>
      <c r="K16" s="5">
        <v>70.7</v>
      </c>
      <c r="L16" s="5">
        <v>32.2</v>
      </c>
      <c r="M16" s="5">
        <v>26.4</v>
      </c>
      <c r="N16" s="5">
        <v>8.1</v>
      </c>
      <c r="O16" s="8">
        <f>ROUND(1.152-0.726*O15-0.00107*O17,4)</f>
        <v>0.6541</v>
      </c>
      <c r="P16" s="7"/>
      <c r="R16" s="1" cm="1">
        <f t="array" ref="R16">INDEX(V$2:V$8,MATCH(O16,V$2:V$8)+1)</f>
        <v>0.7</v>
      </c>
      <c r="S16" s="1" cm="1">
        <f t="array" ref="S16">INDEX(W$2:W$8,MATCH(O16,V$2:V$8)+1)</f>
        <v>4</v>
      </c>
    </row>
    <row r="17" spans="1:16">
      <c r="A17" s="4"/>
      <c r="B17" s="4" t="s">
        <v>8</v>
      </c>
      <c r="C17" s="5">
        <f t="shared" ref="C17:N17" si="4">IF((C15-C16)&gt;0,C15-C16,0)</f>
        <v>11.3</v>
      </c>
      <c r="D17" s="5">
        <f t="shared" si="4"/>
        <v>16.2</v>
      </c>
      <c r="E17" s="5">
        <f t="shared" si="4"/>
        <v>40.3</v>
      </c>
      <c r="F17" s="5">
        <f t="shared" si="4"/>
        <v>48.8</v>
      </c>
      <c r="G17" s="5">
        <f t="shared" si="4"/>
        <v>90.1</v>
      </c>
      <c r="H17" s="5">
        <f t="shared" si="4"/>
        <v>60.7</v>
      </c>
      <c r="I17" s="5">
        <f t="shared" si="4"/>
        <v>0</v>
      </c>
      <c r="J17" s="5">
        <f t="shared" si="4"/>
        <v>0</v>
      </c>
      <c r="K17" s="5">
        <f t="shared" si="4"/>
        <v>7.8</v>
      </c>
      <c r="L17" s="5">
        <f t="shared" si="4"/>
        <v>22.4</v>
      </c>
      <c r="M17" s="5">
        <f t="shared" si="4"/>
        <v>0</v>
      </c>
      <c r="N17" s="5">
        <f t="shared" si="4"/>
        <v>6.1</v>
      </c>
      <c r="O17" s="9">
        <f>SUM(C17:N17)</f>
        <v>303.7</v>
      </c>
      <c r="P17" s="7"/>
    </row>
    <row r="18" ht="18" customHeight="1" spans="1:19">
      <c r="A18" s="4" t="s">
        <v>13</v>
      </c>
      <c r="B18" s="4" t="s">
        <v>6</v>
      </c>
      <c r="C18" s="5">
        <v>16</v>
      </c>
      <c r="D18" s="5">
        <v>24.9</v>
      </c>
      <c r="E18" s="5">
        <v>58.2</v>
      </c>
      <c r="F18" s="5">
        <v>87.7</v>
      </c>
      <c r="G18" s="5">
        <v>137.9</v>
      </c>
      <c r="H18" s="5">
        <v>158.5</v>
      </c>
      <c r="I18" s="5">
        <v>140.3</v>
      </c>
      <c r="J18" s="5">
        <v>129.5</v>
      </c>
      <c r="K18" s="5">
        <v>81</v>
      </c>
      <c r="L18" s="5">
        <v>56.6</v>
      </c>
      <c r="M18" s="5">
        <v>24.8</v>
      </c>
      <c r="N18" s="5">
        <v>14.7</v>
      </c>
      <c r="O18" s="8">
        <f>(C18+D18+K18+L18+M18+N18)/SUM(C18:N18)</f>
        <v>0.234383399634448</v>
      </c>
      <c r="P18" s="7" cm="1">
        <f t="array" ref="P18">ROUND(TREND(S18:S19,R18:R19,O19),2)</f>
        <v>4.62</v>
      </c>
      <c r="R18" s="1" cm="1">
        <f t="array" ref="R18">INDEX(V$2:V$8,MATCH(O19,V$2:V$8))</f>
        <v>0.6</v>
      </c>
      <c r="S18" s="1" cm="1">
        <f t="array" ref="S18">INDEX(W$2:W$8,MATCH(O19,V$2:V$8))</f>
        <v>5</v>
      </c>
    </row>
    <row r="19" spans="1:19">
      <c r="A19" s="4"/>
      <c r="B19" s="4" t="s">
        <v>7</v>
      </c>
      <c r="C19" s="5">
        <v>8.2</v>
      </c>
      <c r="D19" s="5">
        <v>11.2</v>
      </c>
      <c r="E19" s="5">
        <v>20.4</v>
      </c>
      <c r="F19" s="5">
        <v>42.1</v>
      </c>
      <c r="G19" s="5">
        <v>40</v>
      </c>
      <c r="H19" s="5">
        <v>90.4</v>
      </c>
      <c r="I19" s="5">
        <v>237.1</v>
      </c>
      <c r="J19" s="5">
        <v>156.7</v>
      </c>
      <c r="K19" s="5">
        <v>60.8</v>
      </c>
      <c r="L19" s="5">
        <v>30</v>
      </c>
      <c r="M19" s="5">
        <v>27</v>
      </c>
      <c r="N19" s="5">
        <v>11.3</v>
      </c>
      <c r="O19" s="8">
        <f>ROUND(1.152-0.726*O18-0.00107*O20,4)</f>
        <v>0.6383</v>
      </c>
      <c r="P19" s="7"/>
      <c r="R19" s="1" cm="1">
        <f t="array" ref="R19">INDEX(V$2:V$8,MATCH(O19,V$2:V$8)+1)</f>
        <v>0.7</v>
      </c>
      <c r="S19" s="1" cm="1">
        <f t="array" ref="S19">INDEX(W$2:W$8,MATCH(O19,V$2:V$8)+1)</f>
        <v>4</v>
      </c>
    </row>
    <row r="20" spans="1:16">
      <c r="A20" s="4"/>
      <c r="B20" s="4" t="s">
        <v>8</v>
      </c>
      <c r="C20" s="5">
        <f t="shared" ref="C20:N20" si="5">IF((C18-C19)&gt;0,C18-C19,0)</f>
        <v>7.8</v>
      </c>
      <c r="D20" s="5">
        <f t="shared" si="5"/>
        <v>13.7</v>
      </c>
      <c r="E20" s="5">
        <f t="shared" si="5"/>
        <v>37.8</v>
      </c>
      <c r="F20" s="5">
        <f t="shared" si="5"/>
        <v>45.6</v>
      </c>
      <c r="G20" s="5">
        <f t="shared" si="5"/>
        <v>97.9</v>
      </c>
      <c r="H20" s="5">
        <f t="shared" si="5"/>
        <v>68.1</v>
      </c>
      <c r="I20" s="5">
        <f t="shared" si="5"/>
        <v>0</v>
      </c>
      <c r="J20" s="5">
        <f t="shared" si="5"/>
        <v>0</v>
      </c>
      <c r="K20" s="5">
        <f t="shared" si="5"/>
        <v>20.2</v>
      </c>
      <c r="L20" s="5">
        <f t="shared" si="5"/>
        <v>26.6</v>
      </c>
      <c r="M20" s="5">
        <f t="shared" si="5"/>
        <v>0</v>
      </c>
      <c r="N20" s="5">
        <f t="shared" si="5"/>
        <v>3.4</v>
      </c>
      <c r="O20" s="9">
        <f>SUM(C20:N20)</f>
        <v>321.1</v>
      </c>
      <c r="P20" s="7"/>
    </row>
    <row r="21" ht="18" customHeight="1" spans="1:19">
      <c r="A21" s="4" t="s">
        <v>14</v>
      </c>
      <c r="B21" s="4" t="s">
        <v>6</v>
      </c>
      <c r="C21" s="5">
        <v>17.2</v>
      </c>
      <c r="D21" s="5">
        <v>24.3</v>
      </c>
      <c r="E21" s="5">
        <v>53.1</v>
      </c>
      <c r="F21" s="5">
        <v>78.9</v>
      </c>
      <c r="G21" s="5">
        <v>123.7</v>
      </c>
      <c r="H21" s="5">
        <v>137.2</v>
      </c>
      <c r="I21" s="5">
        <v>123.3</v>
      </c>
      <c r="J21" s="5">
        <v>123.7</v>
      </c>
      <c r="K21" s="5">
        <v>77.5</v>
      </c>
      <c r="L21" s="5">
        <v>56.2</v>
      </c>
      <c r="M21" s="5">
        <v>25.6</v>
      </c>
      <c r="N21" s="5">
        <v>15.5</v>
      </c>
      <c r="O21" s="8">
        <f>(C21+D21+K21+L21+M21+N21)/SUM(C21:N21)</f>
        <v>0.252627890679748</v>
      </c>
      <c r="P21" s="7" cm="1">
        <f t="array" ref="P21">ROUND(TREND(S21:S22,R21:R22,O22),2)</f>
        <v>3.71</v>
      </c>
      <c r="R21" s="1" cm="1">
        <f t="array" ref="R21">INDEX(V$2:V$8,MATCH(O22,V$2:V$8))</f>
        <v>0.7</v>
      </c>
      <c r="S21" s="1" cm="1">
        <f t="array" ref="S21">INDEX(W$2:W$8,MATCH(O22,V$2:V$8))</f>
        <v>4</v>
      </c>
    </row>
    <row r="22" spans="1:19">
      <c r="A22" s="4"/>
      <c r="B22" s="4" t="s">
        <v>7</v>
      </c>
      <c r="C22" s="5">
        <v>11.5</v>
      </c>
      <c r="D22" s="5">
        <v>15.1</v>
      </c>
      <c r="E22" s="5">
        <v>24.4</v>
      </c>
      <c r="F22" s="5">
        <v>52.1</v>
      </c>
      <c r="G22" s="5">
        <v>48.2</v>
      </c>
      <c r="H22" s="5">
        <v>111.1</v>
      </c>
      <c r="I22" s="5">
        <v>284.8</v>
      </c>
      <c r="J22" s="5">
        <v>183.1</v>
      </c>
      <c r="K22" s="5">
        <v>160.4</v>
      </c>
      <c r="L22" s="5">
        <v>33.7</v>
      </c>
      <c r="M22" s="5">
        <v>32.3</v>
      </c>
      <c r="N22" s="5">
        <v>13.3</v>
      </c>
      <c r="O22" s="8">
        <f>ROUND(1.152-0.726*O21-0.00107*O23,4)</f>
        <v>0.7581</v>
      </c>
      <c r="P22" s="7"/>
      <c r="R22" s="1" cm="1">
        <f t="array" ref="R22">INDEX(V$2:V$8,MATCH(O22,V$2:V$8)+1)</f>
        <v>0.8</v>
      </c>
      <c r="S22" s="1" cm="1">
        <f t="array" ref="S22">INDEX(W$2:W$8,MATCH(O22,V$2:V$8)+1)</f>
        <v>3.5</v>
      </c>
    </row>
    <row r="23" spans="1:16">
      <c r="A23" s="4"/>
      <c r="B23" s="4" t="s">
        <v>8</v>
      </c>
      <c r="C23" s="5">
        <f t="shared" ref="C23:N23" si="6">IF((C21-C22)&gt;0,C21-C22,0)</f>
        <v>5.7</v>
      </c>
      <c r="D23" s="5">
        <f t="shared" si="6"/>
        <v>9.2</v>
      </c>
      <c r="E23" s="5">
        <f t="shared" si="6"/>
        <v>28.7</v>
      </c>
      <c r="F23" s="5">
        <f t="shared" si="6"/>
        <v>26.8</v>
      </c>
      <c r="G23" s="5">
        <f t="shared" si="6"/>
        <v>75.5</v>
      </c>
      <c r="H23" s="5">
        <f t="shared" si="6"/>
        <v>26.1</v>
      </c>
      <c r="I23" s="5">
        <f t="shared" si="6"/>
        <v>0</v>
      </c>
      <c r="J23" s="5">
        <f t="shared" si="6"/>
        <v>0</v>
      </c>
      <c r="K23" s="5">
        <f t="shared" si="6"/>
        <v>0</v>
      </c>
      <c r="L23" s="5">
        <f t="shared" si="6"/>
        <v>22.5</v>
      </c>
      <c r="M23" s="5">
        <f t="shared" si="6"/>
        <v>0</v>
      </c>
      <c r="N23" s="5">
        <f t="shared" si="6"/>
        <v>2.2</v>
      </c>
      <c r="O23" s="9">
        <f>SUM(C23:N23)</f>
        <v>196.7</v>
      </c>
      <c r="P23" s="7"/>
    </row>
    <row r="24" ht="18" customHeight="1" spans="1:19">
      <c r="A24" s="4" t="s">
        <v>15</v>
      </c>
      <c r="B24" s="4" t="s">
        <v>6</v>
      </c>
      <c r="C24" s="5">
        <v>13.2</v>
      </c>
      <c r="D24" s="5">
        <v>20.2</v>
      </c>
      <c r="E24" s="5">
        <v>47.7</v>
      </c>
      <c r="F24" s="5">
        <v>71.5</v>
      </c>
      <c r="G24" s="5">
        <v>120.4</v>
      </c>
      <c r="H24" s="5">
        <v>121.1</v>
      </c>
      <c r="I24" s="5">
        <v>110.4</v>
      </c>
      <c r="J24" s="5">
        <v>112.3</v>
      </c>
      <c r="K24" s="5">
        <v>73.4</v>
      </c>
      <c r="L24" s="5">
        <v>48</v>
      </c>
      <c r="M24" s="5">
        <v>21.4</v>
      </c>
      <c r="N24" s="5">
        <v>12</v>
      </c>
      <c r="O24" s="8">
        <f>(C24+D24+K24+L24+M24+N24)/SUM(C24:N24)</f>
        <v>0.243908761016071</v>
      </c>
      <c r="P24" s="7" cm="1">
        <f t="array" ref="P24">ROUND(TREND(S24:S25,R24:R25,O25),2)</f>
        <v>3.63</v>
      </c>
      <c r="R24" s="1" cm="1">
        <f t="array" ref="R24">INDEX(V$2:V$8,MATCH(O25,V$2:V$8))</f>
        <v>0.7</v>
      </c>
      <c r="S24" s="1" cm="1">
        <f t="array" ref="S24">INDEX(W$2:W$8,MATCH(O25,V$2:V$8))</f>
        <v>4</v>
      </c>
    </row>
    <row r="25" spans="1:19">
      <c r="A25" s="4"/>
      <c r="B25" s="4" t="s">
        <v>7</v>
      </c>
      <c r="C25" s="5">
        <v>15.7</v>
      </c>
      <c r="D25" s="5">
        <v>12.5</v>
      </c>
      <c r="E25" s="5">
        <v>22.4</v>
      </c>
      <c r="F25" s="5">
        <v>44.3</v>
      </c>
      <c r="G25" s="5">
        <v>43.3</v>
      </c>
      <c r="H25" s="5">
        <v>82.4</v>
      </c>
      <c r="I25" s="5">
        <v>234.1</v>
      </c>
      <c r="J25" s="5">
        <v>194.3</v>
      </c>
      <c r="K25" s="5">
        <v>107.9</v>
      </c>
      <c r="L25" s="5">
        <v>36</v>
      </c>
      <c r="M25" s="5">
        <v>35.3</v>
      </c>
      <c r="N25" s="5">
        <v>16.3</v>
      </c>
      <c r="O25" s="8">
        <f>ROUND(1.152-0.726*O24-0.00107*O26,4)</f>
        <v>0.7738</v>
      </c>
      <c r="P25" s="7"/>
      <c r="R25" s="1" cm="1">
        <f t="array" ref="R25">INDEX(V$2:V$8,MATCH(O25,V$2:V$8)+1)</f>
        <v>0.8</v>
      </c>
      <c r="S25" s="1" cm="1">
        <f t="array" ref="S25">INDEX(W$2:W$8,MATCH(O25,V$2:V$8)+1)</f>
        <v>3.5</v>
      </c>
    </row>
    <row r="26" spans="1:16">
      <c r="A26" s="4"/>
      <c r="B26" s="4" t="s">
        <v>8</v>
      </c>
      <c r="C26" s="5">
        <f t="shared" ref="C26:N26" si="7">IF((C24-C25)&gt;0,C24-C25,0)</f>
        <v>0</v>
      </c>
      <c r="D26" s="5">
        <f t="shared" si="7"/>
        <v>7.7</v>
      </c>
      <c r="E26" s="5">
        <f t="shared" si="7"/>
        <v>25.3</v>
      </c>
      <c r="F26" s="5">
        <f t="shared" si="7"/>
        <v>27.2</v>
      </c>
      <c r="G26" s="5">
        <f t="shared" si="7"/>
        <v>77.1</v>
      </c>
      <c r="H26" s="5">
        <f t="shared" si="7"/>
        <v>38.7</v>
      </c>
      <c r="I26" s="5">
        <f t="shared" si="7"/>
        <v>0</v>
      </c>
      <c r="J26" s="5">
        <f t="shared" si="7"/>
        <v>0</v>
      </c>
      <c r="K26" s="5">
        <f t="shared" si="7"/>
        <v>0</v>
      </c>
      <c r="L26" s="5">
        <f t="shared" si="7"/>
        <v>12</v>
      </c>
      <c r="M26" s="5">
        <f t="shared" si="7"/>
        <v>0</v>
      </c>
      <c r="N26" s="5">
        <f t="shared" si="7"/>
        <v>0</v>
      </c>
      <c r="O26" s="9">
        <f>SUM(C26:N26)</f>
        <v>188</v>
      </c>
      <c r="P26" s="7"/>
    </row>
    <row r="27" ht="18" customHeight="1" spans="1:19">
      <c r="A27" s="4" t="s">
        <v>16</v>
      </c>
      <c r="B27" s="4" t="s">
        <v>6</v>
      </c>
      <c r="C27" s="5">
        <v>19.5</v>
      </c>
      <c r="D27" s="5">
        <v>24.9</v>
      </c>
      <c r="E27" s="5">
        <v>50.1</v>
      </c>
      <c r="F27" s="5">
        <v>70.5</v>
      </c>
      <c r="G27" s="5">
        <v>103.5</v>
      </c>
      <c r="H27" s="5">
        <v>120.6</v>
      </c>
      <c r="I27" s="5">
        <v>140</v>
      </c>
      <c r="J27" s="5">
        <v>139.1</v>
      </c>
      <c r="K27" s="5">
        <v>80.7</v>
      </c>
      <c r="L27" s="5">
        <v>59</v>
      </c>
      <c r="M27" s="5">
        <v>27.3</v>
      </c>
      <c r="N27" s="5">
        <v>17.8</v>
      </c>
      <c r="O27" s="8">
        <f>(C27+D27+K27+L27+M27+N27)/SUM(C27:N27)</f>
        <v>0.268698710433763</v>
      </c>
      <c r="P27" s="7" cm="1">
        <f t="array" ref="P27">ROUND(TREND(S27:S28,R27:R28,O28),2)</f>
        <v>3</v>
      </c>
      <c r="R27" s="1" cm="1">
        <f t="array" ref="R27">INDEX(V$2:V$8,MATCH(O28,V$2:V$8))</f>
        <v>0.9</v>
      </c>
      <c r="S27" s="1" cm="1">
        <f t="array" ref="S27">INDEX(W$2:W$8,MATCH(O28,V$2:V$8))</f>
        <v>3</v>
      </c>
    </row>
    <row r="28" spans="1:19">
      <c r="A28" s="4"/>
      <c r="B28" s="4" t="s">
        <v>7</v>
      </c>
      <c r="C28" s="5">
        <v>31.8</v>
      </c>
      <c r="D28" s="5">
        <v>53</v>
      </c>
      <c r="E28" s="5">
        <v>78.7</v>
      </c>
      <c r="F28" s="5">
        <v>98.7</v>
      </c>
      <c r="G28" s="5">
        <v>97.3</v>
      </c>
      <c r="H28" s="5">
        <v>139.9</v>
      </c>
      <c r="I28" s="5">
        <v>182</v>
      </c>
      <c r="J28" s="5">
        <v>121</v>
      </c>
      <c r="K28" s="5">
        <v>100.9</v>
      </c>
      <c r="L28" s="5">
        <v>44.3</v>
      </c>
      <c r="M28" s="5">
        <v>53.2</v>
      </c>
      <c r="N28" s="5">
        <v>21.2</v>
      </c>
      <c r="O28" s="8">
        <f>ROUND(1.152-0.726*O27-0.00107*O29,4)</f>
        <v>0.9152</v>
      </c>
      <c r="P28" s="7"/>
      <c r="R28" s="1" cm="1">
        <f t="array" ref="R28">INDEX(V$2:V$8,MATCH(O28,V$2:V$8)+1)</f>
        <v>1</v>
      </c>
      <c r="S28" s="1" cm="1">
        <f t="array" ref="S28">INDEX(W$2:W$8,MATCH(O28,V$2:V$8)+1)</f>
        <v>3</v>
      </c>
    </row>
    <row r="29" spans="1:16">
      <c r="A29" s="4"/>
      <c r="B29" s="4" t="s">
        <v>8</v>
      </c>
      <c r="C29" s="5">
        <f t="shared" ref="C29:N29" si="8">IF((C27-C28)&gt;0,C27-C28,0)</f>
        <v>0</v>
      </c>
      <c r="D29" s="5">
        <f t="shared" si="8"/>
        <v>0</v>
      </c>
      <c r="E29" s="5">
        <f t="shared" si="8"/>
        <v>0</v>
      </c>
      <c r="F29" s="5">
        <f t="shared" si="8"/>
        <v>0</v>
      </c>
      <c r="G29" s="5">
        <f t="shared" si="8"/>
        <v>6.2</v>
      </c>
      <c r="H29" s="5">
        <f t="shared" si="8"/>
        <v>0</v>
      </c>
      <c r="I29" s="5">
        <f t="shared" si="8"/>
        <v>0</v>
      </c>
      <c r="J29" s="5">
        <f t="shared" si="8"/>
        <v>18.1</v>
      </c>
      <c r="K29" s="5">
        <f t="shared" si="8"/>
        <v>0</v>
      </c>
      <c r="L29" s="5">
        <f t="shared" si="8"/>
        <v>14.7</v>
      </c>
      <c r="M29" s="5">
        <f t="shared" si="8"/>
        <v>0</v>
      </c>
      <c r="N29" s="5">
        <f t="shared" si="8"/>
        <v>0</v>
      </c>
      <c r="O29" s="9">
        <f>SUM(C29:N29)</f>
        <v>39</v>
      </c>
      <c r="P29" s="7"/>
    </row>
    <row r="30" ht="18" customHeight="1" spans="1:19">
      <c r="A30" s="4" t="s">
        <v>17</v>
      </c>
      <c r="B30" s="4" t="s">
        <v>6</v>
      </c>
      <c r="C30" s="5">
        <v>19</v>
      </c>
      <c r="D30" s="5">
        <v>25.9</v>
      </c>
      <c r="E30" s="5">
        <v>52</v>
      </c>
      <c r="F30" s="5">
        <v>74.4</v>
      </c>
      <c r="G30" s="5">
        <v>114.3</v>
      </c>
      <c r="H30" s="5">
        <v>136.9</v>
      </c>
      <c r="I30" s="5">
        <v>137.2</v>
      </c>
      <c r="J30" s="5">
        <v>136</v>
      </c>
      <c r="K30" s="5">
        <v>79.1</v>
      </c>
      <c r="L30" s="5">
        <v>57.8</v>
      </c>
      <c r="M30" s="5">
        <v>28.2</v>
      </c>
      <c r="N30" s="5">
        <v>18.5</v>
      </c>
      <c r="O30" s="8">
        <f>(C30+D30+K30+L30+M30+N30)/SUM(C30:N30)</f>
        <v>0.259865802342773</v>
      </c>
      <c r="P30" s="10" cm="1">
        <f t="array" ref="P30">ROUND(TREND(S30:S31,R30:R31,O31),2)</f>
        <v>3.23</v>
      </c>
      <c r="R30" s="1" cm="1">
        <f t="array" ref="R30">INDEX(V$2:V$8,MATCH(O31,V$2:V$8))</f>
        <v>0.8</v>
      </c>
      <c r="S30" s="1" cm="1">
        <f t="array" ref="S30">INDEX(W$2:W$8,MATCH(O31,V$2:V$8))</f>
        <v>3.5</v>
      </c>
    </row>
    <row r="31" spans="1:19">
      <c r="A31" s="4"/>
      <c r="B31" s="4" t="s">
        <v>7</v>
      </c>
      <c r="C31" s="5">
        <v>26.6</v>
      </c>
      <c r="D31" s="5">
        <v>32.6</v>
      </c>
      <c r="E31" s="5">
        <v>60.8</v>
      </c>
      <c r="F31" s="5">
        <v>62.5</v>
      </c>
      <c r="G31" s="5">
        <v>74.3</v>
      </c>
      <c r="H31" s="5">
        <v>106.8</v>
      </c>
      <c r="I31" s="5">
        <v>205.8</v>
      </c>
      <c r="J31" s="5">
        <v>153.7</v>
      </c>
      <c r="K31" s="5">
        <v>87</v>
      </c>
      <c r="L31" s="5">
        <v>38.2</v>
      </c>
      <c r="M31" s="5">
        <v>40.3</v>
      </c>
      <c r="N31" s="5">
        <v>22</v>
      </c>
      <c r="O31" s="8">
        <f>ROUND(1.152-0.726*O30-0.00107*O32,4)</f>
        <v>0.8546</v>
      </c>
      <c r="P31" s="10"/>
      <c r="R31" s="1" cm="1">
        <f t="array" ref="R31">INDEX(V$2:V$8,MATCH(O31,V$2:V$8)+1)</f>
        <v>0.9</v>
      </c>
      <c r="S31" s="1" cm="1">
        <f t="array" ref="S31">INDEX(W$2:W$8,MATCH(O31,V$2:V$8)+1)</f>
        <v>3</v>
      </c>
    </row>
    <row r="32" spans="1:16">
      <c r="A32" s="4"/>
      <c r="B32" s="4" t="s">
        <v>8</v>
      </c>
      <c r="C32" s="5">
        <f t="shared" ref="C32:N32" si="9">IF((C30-C31)&gt;0,C30-C31,0)</f>
        <v>0</v>
      </c>
      <c r="D32" s="5">
        <f t="shared" si="9"/>
        <v>0</v>
      </c>
      <c r="E32" s="5">
        <f t="shared" si="9"/>
        <v>0</v>
      </c>
      <c r="F32" s="5">
        <f t="shared" si="9"/>
        <v>11.9</v>
      </c>
      <c r="G32" s="5">
        <f t="shared" si="9"/>
        <v>40</v>
      </c>
      <c r="H32" s="5">
        <f t="shared" si="9"/>
        <v>30.1</v>
      </c>
      <c r="I32" s="5">
        <f t="shared" si="9"/>
        <v>0</v>
      </c>
      <c r="J32" s="5">
        <f t="shared" si="9"/>
        <v>0</v>
      </c>
      <c r="K32" s="5">
        <f t="shared" si="9"/>
        <v>0</v>
      </c>
      <c r="L32" s="5">
        <f t="shared" si="9"/>
        <v>19.6</v>
      </c>
      <c r="M32" s="5">
        <f t="shared" si="9"/>
        <v>0</v>
      </c>
      <c r="N32" s="5">
        <f t="shared" si="9"/>
        <v>0</v>
      </c>
      <c r="O32" s="9">
        <f>SUM(C32:N32)</f>
        <v>101.6</v>
      </c>
      <c r="P32" s="10"/>
    </row>
    <row r="33" ht="17.25" customHeight="1" spans="1:19">
      <c r="A33" s="4" t="s">
        <v>18</v>
      </c>
      <c r="B33" s="4" t="s">
        <v>6</v>
      </c>
      <c r="C33" s="5">
        <v>19</v>
      </c>
      <c r="D33" s="5">
        <v>25.6</v>
      </c>
      <c r="E33" s="5">
        <v>51.3</v>
      </c>
      <c r="F33" s="5">
        <v>71.7</v>
      </c>
      <c r="G33" s="5">
        <v>111.5</v>
      </c>
      <c r="H33" s="5">
        <v>131.9</v>
      </c>
      <c r="I33" s="5">
        <v>150</v>
      </c>
      <c r="J33" s="5">
        <v>146.3</v>
      </c>
      <c r="K33" s="5">
        <v>80.8</v>
      </c>
      <c r="L33" s="5">
        <v>59.2</v>
      </c>
      <c r="M33" s="5">
        <v>27.9</v>
      </c>
      <c r="N33" s="5">
        <v>18.5</v>
      </c>
      <c r="O33" s="8">
        <f>(C33+D33+K33+L33+M33+N33)/SUM(C33:N33)</f>
        <v>0.258475998657268</v>
      </c>
      <c r="P33" s="7" cm="1">
        <f t="array" ref="P33">ROUND(TREND(S33:S34,R33:R34,O34),2)</f>
        <v>3.16</v>
      </c>
      <c r="R33" s="1" cm="1">
        <f t="array" ref="R33">INDEX(V$2:V$8,MATCH(O34,V$2:V$8))</f>
        <v>0.8</v>
      </c>
      <c r="S33" s="1" cm="1">
        <f t="array" ref="S33">INDEX(W$2:W$8,MATCH(O34,V$2:V$8))</f>
        <v>3.5</v>
      </c>
    </row>
    <row r="34" spans="1:19">
      <c r="A34" s="4"/>
      <c r="B34" s="4" t="s">
        <v>7</v>
      </c>
      <c r="C34" s="5">
        <v>33.6</v>
      </c>
      <c r="D34" s="5">
        <v>50.2</v>
      </c>
      <c r="E34" s="5">
        <v>75.4</v>
      </c>
      <c r="F34" s="5">
        <v>106.1</v>
      </c>
      <c r="G34" s="5">
        <v>105.9</v>
      </c>
      <c r="H34" s="5">
        <v>96.3</v>
      </c>
      <c r="I34" s="5">
        <v>181.5</v>
      </c>
      <c r="J34" s="5">
        <v>114.1</v>
      </c>
      <c r="K34" s="5">
        <v>80</v>
      </c>
      <c r="L34" s="5">
        <v>43.2</v>
      </c>
      <c r="M34" s="5">
        <v>52.5</v>
      </c>
      <c r="N34" s="5">
        <v>31.5</v>
      </c>
      <c r="O34" s="8">
        <f>ROUND(1.152-0.726*O33-0.00107*O35,4)</f>
        <v>0.8678</v>
      </c>
      <c r="P34" s="7"/>
      <c r="R34" s="1" cm="1">
        <f t="array" ref="R34">INDEX(V$2:V$8,MATCH(O34,V$2:V$8)+1)</f>
        <v>0.9</v>
      </c>
      <c r="S34" s="1" cm="1">
        <f t="array" ref="S34">INDEX(W$2:W$8,MATCH(O34,V$2:V$8)+1)</f>
        <v>3</v>
      </c>
    </row>
    <row r="35" spans="1:16">
      <c r="A35" s="4"/>
      <c r="B35" s="4" t="s">
        <v>8</v>
      </c>
      <c r="C35" s="5">
        <f t="shared" ref="C35:N35" si="10">IF((C33-C34)&gt;0,C33-C34,0)</f>
        <v>0</v>
      </c>
      <c r="D35" s="5">
        <f t="shared" si="10"/>
        <v>0</v>
      </c>
      <c r="E35" s="5">
        <f t="shared" si="10"/>
        <v>0</v>
      </c>
      <c r="F35" s="5">
        <f t="shared" si="10"/>
        <v>0</v>
      </c>
      <c r="G35" s="5">
        <f t="shared" si="10"/>
        <v>5.59999999999999</v>
      </c>
      <c r="H35" s="5">
        <f t="shared" si="10"/>
        <v>35.6</v>
      </c>
      <c r="I35" s="5">
        <f t="shared" si="10"/>
        <v>0</v>
      </c>
      <c r="J35" s="5">
        <f t="shared" si="10"/>
        <v>32.2</v>
      </c>
      <c r="K35" s="5">
        <f t="shared" si="10"/>
        <v>0.799999999999997</v>
      </c>
      <c r="L35" s="5">
        <f t="shared" si="10"/>
        <v>16</v>
      </c>
      <c r="M35" s="5">
        <f t="shared" si="10"/>
        <v>0</v>
      </c>
      <c r="N35" s="5">
        <f t="shared" si="10"/>
        <v>0</v>
      </c>
      <c r="O35" s="9">
        <f>SUM(C35:N35)</f>
        <v>90.2</v>
      </c>
      <c r="P35" s="7"/>
    </row>
    <row r="36" ht="17.25" customHeight="1" spans="1:19">
      <c r="A36" s="4" t="s">
        <v>19</v>
      </c>
      <c r="B36" s="4" t="s">
        <v>6</v>
      </c>
      <c r="C36" s="5">
        <v>22.8</v>
      </c>
      <c r="D36" s="5">
        <v>27.6</v>
      </c>
      <c r="E36" s="5">
        <v>54.2</v>
      </c>
      <c r="F36" s="5">
        <v>72.6</v>
      </c>
      <c r="G36" s="5">
        <v>111.3</v>
      </c>
      <c r="H36" s="5">
        <v>134.8</v>
      </c>
      <c r="I36" s="5">
        <v>159.7</v>
      </c>
      <c r="J36" s="5">
        <v>149.9</v>
      </c>
      <c r="K36" s="5">
        <v>84.2</v>
      </c>
      <c r="L36" s="5">
        <v>64.7</v>
      </c>
      <c r="M36" s="5">
        <v>31.2</v>
      </c>
      <c r="N36" s="5">
        <v>21.6</v>
      </c>
      <c r="O36" s="8">
        <f>(C36+D36+K36+L36+M36+N36)/SUM(C36:N36)</f>
        <v>0.269741065696555</v>
      </c>
      <c r="P36" s="7" cm="1">
        <f t="array" ref="P36">ROUND(TREND(S36:S37,R36:R37,O37),2)</f>
        <v>3.42</v>
      </c>
      <c r="R36" s="1" cm="1">
        <f t="array" ref="R36">INDEX(V$2:V$8,MATCH(O37,V$2:V$8))</f>
        <v>0.8</v>
      </c>
      <c r="S36" s="1" cm="1">
        <f t="array" ref="S36">INDEX(W$2:W$8,MATCH(O37,V$2:V$8))</f>
        <v>3.5</v>
      </c>
    </row>
    <row r="37" spans="1:19">
      <c r="A37" s="4"/>
      <c r="B37" s="4" t="s">
        <v>7</v>
      </c>
      <c r="C37" s="5">
        <v>27.4</v>
      </c>
      <c r="D37" s="5">
        <v>45.5</v>
      </c>
      <c r="E37" s="5">
        <v>73.7</v>
      </c>
      <c r="F37" s="5">
        <v>111.1</v>
      </c>
      <c r="G37" s="5">
        <v>110.2</v>
      </c>
      <c r="H37" s="5">
        <v>89</v>
      </c>
      <c r="I37" s="5">
        <v>158.1</v>
      </c>
      <c r="J37" s="5">
        <v>98.9</v>
      </c>
      <c r="K37" s="5">
        <v>76.6</v>
      </c>
      <c r="L37" s="5">
        <v>40.1</v>
      </c>
      <c r="M37" s="5">
        <v>59.6</v>
      </c>
      <c r="N37" s="5">
        <v>26.1</v>
      </c>
      <c r="O37" s="8">
        <f>ROUND(1.152-0.726*O36-0.00107*O38,4)</f>
        <v>0.8152</v>
      </c>
      <c r="P37" s="7"/>
      <c r="R37" s="1" cm="1">
        <f t="array" ref="R37">INDEX(V$2:V$8,MATCH(O37,V$2:V$8)+1)</f>
        <v>0.9</v>
      </c>
      <c r="S37" s="1" cm="1">
        <f t="array" ref="S37">INDEX(W$2:W$8,MATCH(O37,V$2:V$8)+1)</f>
        <v>3</v>
      </c>
    </row>
    <row r="38" spans="1:16">
      <c r="A38" s="4"/>
      <c r="B38" s="4" t="s">
        <v>8</v>
      </c>
      <c r="C38" s="5">
        <f t="shared" ref="C38:N38" si="11">IF((C36-C37)&gt;0,C36-C37,0)</f>
        <v>0</v>
      </c>
      <c r="D38" s="5">
        <f t="shared" si="11"/>
        <v>0</v>
      </c>
      <c r="E38" s="5">
        <f t="shared" si="11"/>
        <v>0</v>
      </c>
      <c r="F38" s="5">
        <f t="shared" si="11"/>
        <v>0</v>
      </c>
      <c r="G38" s="5">
        <f t="shared" si="11"/>
        <v>1.09999999999999</v>
      </c>
      <c r="H38" s="5">
        <f t="shared" si="11"/>
        <v>45.8</v>
      </c>
      <c r="I38" s="5">
        <f t="shared" si="11"/>
        <v>1.59999999999999</v>
      </c>
      <c r="J38" s="5">
        <f t="shared" si="11"/>
        <v>51</v>
      </c>
      <c r="K38" s="5">
        <f t="shared" si="11"/>
        <v>7.60000000000001</v>
      </c>
      <c r="L38" s="5">
        <f t="shared" si="11"/>
        <v>24.6</v>
      </c>
      <c r="M38" s="5">
        <f t="shared" si="11"/>
        <v>0</v>
      </c>
      <c r="N38" s="5">
        <f t="shared" si="11"/>
        <v>0</v>
      </c>
      <c r="O38" s="9">
        <f>SUM(C38:N38)</f>
        <v>131.7</v>
      </c>
      <c r="P38" s="7"/>
    </row>
    <row r="39" ht="16.5" customHeight="1" spans="1:19">
      <c r="A39" s="4" t="s">
        <v>20</v>
      </c>
      <c r="B39" s="4" t="s">
        <v>6</v>
      </c>
      <c r="C39" s="5">
        <v>20.3</v>
      </c>
      <c r="D39" s="5">
        <v>26.8</v>
      </c>
      <c r="E39" s="5">
        <v>33</v>
      </c>
      <c r="F39" s="5">
        <v>75.7</v>
      </c>
      <c r="G39" s="5">
        <v>122.3</v>
      </c>
      <c r="H39" s="5">
        <v>153</v>
      </c>
      <c r="I39" s="5">
        <v>140.7</v>
      </c>
      <c r="J39" s="5">
        <v>125.2</v>
      </c>
      <c r="K39" s="5">
        <v>76.8</v>
      </c>
      <c r="L39" s="5">
        <v>54.6</v>
      </c>
      <c r="M39" s="5">
        <v>27.5</v>
      </c>
      <c r="N39" s="5">
        <v>19</v>
      </c>
      <c r="O39" s="8">
        <f>(C39+D39+K39+L39+M39+N39)/SUM(C39:N39)</f>
        <v>0.257172248256944</v>
      </c>
      <c r="P39" s="7" cm="1">
        <f t="array" ref="P39">ROUND(TREND(S39:S40,R39:R40,O40),2)</f>
        <v>3.92</v>
      </c>
      <c r="R39" s="1" cm="1">
        <f t="array" ref="R39">INDEX(V$2:V$8,MATCH(O40,V$2:V$8))</f>
        <v>0.7</v>
      </c>
      <c r="S39" s="1" cm="1">
        <f t="array" ref="S39">INDEX(W$2:W$8,MATCH(O40,V$2:V$8))</f>
        <v>4</v>
      </c>
    </row>
    <row r="40" spans="1:19">
      <c r="A40" s="4"/>
      <c r="B40" s="4" t="s">
        <v>7</v>
      </c>
      <c r="C40" s="5">
        <v>13</v>
      </c>
      <c r="D40" s="5">
        <v>15</v>
      </c>
      <c r="E40" s="5">
        <v>19.8</v>
      </c>
      <c r="F40" s="5">
        <v>53</v>
      </c>
      <c r="G40" s="5">
        <v>53.8</v>
      </c>
      <c r="H40" s="5">
        <v>70.4</v>
      </c>
      <c r="I40" s="5">
        <v>185.7</v>
      </c>
      <c r="J40" s="5">
        <v>156.4</v>
      </c>
      <c r="K40" s="5">
        <v>72.2</v>
      </c>
      <c r="L40" s="5">
        <v>39.9</v>
      </c>
      <c r="M40" s="5">
        <v>37.9</v>
      </c>
      <c r="N40" s="5">
        <v>10.7</v>
      </c>
      <c r="O40" s="8">
        <f>ROUND(1.152-0.726*O39-0.00107*O41,4)</f>
        <v>0.7152</v>
      </c>
      <c r="P40" s="7"/>
      <c r="R40" s="1" cm="1">
        <f t="array" ref="R40">INDEX(V$2:V$8,MATCH(O40,V$2:V$8)+1)</f>
        <v>0.8</v>
      </c>
      <c r="S40" s="1" cm="1">
        <f t="array" ref="S40">INDEX(W$2:W$8,MATCH(O40,V$2:V$8)+1)</f>
        <v>3.5</v>
      </c>
    </row>
    <row r="41" spans="1:16">
      <c r="A41" s="4"/>
      <c r="B41" s="4" t="s">
        <v>8</v>
      </c>
      <c r="C41" s="5">
        <f t="shared" ref="C41:N41" si="12">IF((C39-C40)&gt;0,C39-C40,0)</f>
        <v>7.3</v>
      </c>
      <c r="D41" s="5">
        <f t="shared" si="12"/>
        <v>11.8</v>
      </c>
      <c r="E41" s="5">
        <f t="shared" si="12"/>
        <v>13.2</v>
      </c>
      <c r="F41" s="5">
        <f t="shared" si="12"/>
        <v>22.7</v>
      </c>
      <c r="G41" s="5">
        <f t="shared" si="12"/>
        <v>68.5</v>
      </c>
      <c r="H41" s="5">
        <f t="shared" si="12"/>
        <v>82.6</v>
      </c>
      <c r="I41" s="5">
        <f t="shared" si="12"/>
        <v>0</v>
      </c>
      <c r="J41" s="5">
        <f t="shared" si="12"/>
        <v>0</v>
      </c>
      <c r="K41" s="5">
        <f t="shared" si="12"/>
        <v>4.59999999999999</v>
      </c>
      <c r="L41" s="5">
        <f t="shared" si="12"/>
        <v>14.7</v>
      </c>
      <c r="M41" s="5">
        <f t="shared" si="12"/>
        <v>0</v>
      </c>
      <c r="N41" s="5">
        <f t="shared" si="12"/>
        <v>8.3</v>
      </c>
      <c r="O41" s="9">
        <f>SUM(C41:N41)</f>
        <v>233.7</v>
      </c>
      <c r="P41" s="7"/>
    </row>
    <row r="42" spans="1:19">
      <c r="A42" s="4" t="s">
        <v>21</v>
      </c>
      <c r="B42" s="4" t="s">
        <v>6</v>
      </c>
      <c r="C42" s="5">
        <v>19.2</v>
      </c>
      <c r="D42" s="5">
        <v>29.9</v>
      </c>
      <c r="E42" s="5">
        <v>53.3</v>
      </c>
      <c r="F42" s="5">
        <v>74.4</v>
      </c>
      <c r="G42" s="5">
        <v>113.8</v>
      </c>
      <c r="H42" s="5">
        <v>144.8</v>
      </c>
      <c r="I42" s="5">
        <v>137.6</v>
      </c>
      <c r="J42" s="5">
        <v>132.6</v>
      </c>
      <c r="K42" s="5">
        <v>78.8</v>
      </c>
      <c r="L42" s="5">
        <v>55.6</v>
      </c>
      <c r="M42" s="5">
        <v>26.5</v>
      </c>
      <c r="N42" s="5">
        <v>18.6</v>
      </c>
      <c r="O42" s="8">
        <f>(C42+D42+K42+L42+M42+N42)/SUM(C42:N42)</f>
        <v>0.258275901028132</v>
      </c>
      <c r="P42" s="7" cm="1">
        <f t="array" ref="P42">ROUND(TREND(S42:S43,R42:R43,O43),2)</f>
        <v>3.56</v>
      </c>
      <c r="R42" s="1" cm="1">
        <f t="array" ref="R42">INDEX(V$2:V$8,MATCH(O43,V$2:V$8))</f>
        <v>0.7</v>
      </c>
      <c r="S42" s="1" cm="1">
        <f t="array" ref="S42">INDEX(W$2:W$8,MATCH(O43,V$2:V$8))</f>
        <v>4</v>
      </c>
    </row>
    <row r="43" spans="1:19">
      <c r="A43" s="4"/>
      <c r="B43" s="4" t="s">
        <v>7</v>
      </c>
      <c r="C43" s="5">
        <v>14.2</v>
      </c>
      <c r="D43" s="5">
        <v>16.1</v>
      </c>
      <c r="E43" s="5">
        <v>36.2</v>
      </c>
      <c r="F43" s="5">
        <v>69.9</v>
      </c>
      <c r="G43" s="5">
        <v>66</v>
      </c>
      <c r="H43" s="5">
        <v>84</v>
      </c>
      <c r="I43" s="5">
        <v>196.8</v>
      </c>
      <c r="J43" s="5">
        <v>163.1</v>
      </c>
      <c r="K43" s="5">
        <v>93.8</v>
      </c>
      <c r="L43" s="5">
        <v>47.3</v>
      </c>
      <c r="M43" s="5">
        <v>31.5</v>
      </c>
      <c r="N43" s="5">
        <v>10.2</v>
      </c>
      <c r="O43" s="8">
        <f>ROUND(1.152-0.726*O42-0.00107*O44,4)</f>
        <v>0.7872</v>
      </c>
      <c r="P43" s="7"/>
      <c r="R43" s="1" cm="1">
        <f t="array" ref="R43">INDEX(V$2:V$8,MATCH(O43,V$2:V$8)+1)</f>
        <v>0.8</v>
      </c>
      <c r="S43" s="1" cm="1">
        <f t="array" ref="S43">INDEX(W$2:W$8,MATCH(O43,V$2:V$8)+1)</f>
        <v>3.5</v>
      </c>
    </row>
    <row r="44" spans="1:16">
      <c r="A44" s="4"/>
      <c r="B44" s="4" t="s">
        <v>8</v>
      </c>
      <c r="C44" s="5">
        <f t="shared" ref="C44:N44" si="13">IF((C42-C43)&gt;0,C42-C43,0)</f>
        <v>5</v>
      </c>
      <c r="D44" s="5">
        <f t="shared" si="13"/>
        <v>13.8</v>
      </c>
      <c r="E44" s="5">
        <f t="shared" si="13"/>
        <v>17.1</v>
      </c>
      <c r="F44" s="5">
        <f t="shared" si="13"/>
        <v>4.5</v>
      </c>
      <c r="G44" s="5">
        <f t="shared" si="13"/>
        <v>47.8</v>
      </c>
      <c r="H44" s="5">
        <f t="shared" si="13"/>
        <v>60.8</v>
      </c>
      <c r="I44" s="5">
        <f t="shared" si="13"/>
        <v>0</v>
      </c>
      <c r="J44" s="5">
        <f t="shared" si="13"/>
        <v>0</v>
      </c>
      <c r="K44" s="5">
        <f t="shared" si="13"/>
        <v>0</v>
      </c>
      <c r="L44" s="5">
        <f t="shared" si="13"/>
        <v>8.3</v>
      </c>
      <c r="M44" s="5">
        <f t="shared" si="13"/>
        <v>0</v>
      </c>
      <c r="N44" s="5">
        <f t="shared" si="13"/>
        <v>8.4</v>
      </c>
      <c r="O44" s="9">
        <f>SUM(C44:N44)</f>
        <v>165.7</v>
      </c>
      <c r="P44" s="7"/>
    </row>
    <row r="45" spans="1:19">
      <c r="A45" s="4" t="s">
        <v>22</v>
      </c>
      <c r="B45" s="4" t="s">
        <v>6</v>
      </c>
      <c r="C45" s="5">
        <v>17.5</v>
      </c>
      <c r="D45" s="5">
        <v>23.3</v>
      </c>
      <c r="E45" s="5">
        <v>46.5</v>
      </c>
      <c r="F45" s="5">
        <v>65.7</v>
      </c>
      <c r="G45" s="5">
        <v>105.3</v>
      </c>
      <c r="H45" s="5">
        <v>131</v>
      </c>
      <c r="I45" s="5">
        <v>135.7</v>
      </c>
      <c r="J45" s="5">
        <v>127</v>
      </c>
      <c r="K45" s="5">
        <v>69.4</v>
      </c>
      <c r="L45" s="5">
        <v>49</v>
      </c>
      <c r="M45" s="5">
        <v>23.3</v>
      </c>
      <c r="N45" s="5">
        <v>16.2</v>
      </c>
      <c r="O45" s="8">
        <f>(C45+D45+K45+L45+M45+N45)/SUM(C45:N45)</f>
        <v>0.245338930732189</v>
      </c>
      <c r="P45" s="7" cm="1">
        <f t="array" ref="P45">ROUND(TREND(S45:S46,R45:R46,O46),2)</f>
        <v>3.16</v>
      </c>
      <c r="R45" s="1" cm="1">
        <f t="array" ref="R45">INDEX(V$2:V$8,MATCH(O46,V$2:V$8))</f>
        <v>0.8</v>
      </c>
      <c r="S45" s="1" cm="1">
        <f t="array" ref="S45">INDEX(W$2:W$8,MATCH(O46,V$2:V$8))</f>
        <v>3.5</v>
      </c>
    </row>
    <row r="46" spans="1:19">
      <c r="A46" s="4"/>
      <c r="B46" s="4" t="s">
        <v>7</v>
      </c>
      <c r="C46" s="5">
        <v>14.5</v>
      </c>
      <c r="D46" s="5">
        <v>20.3</v>
      </c>
      <c r="E46" s="5">
        <v>43.7</v>
      </c>
      <c r="F46" s="5">
        <v>84.1</v>
      </c>
      <c r="G46" s="5">
        <v>74.8</v>
      </c>
      <c r="H46" s="5">
        <v>74.7</v>
      </c>
      <c r="I46" s="5">
        <v>145.2</v>
      </c>
      <c r="J46" s="5">
        <v>134.6</v>
      </c>
      <c r="K46" s="5">
        <v>109.7</v>
      </c>
      <c r="L46" s="5">
        <v>61.7</v>
      </c>
      <c r="M46" s="5">
        <v>38.9</v>
      </c>
      <c r="N46" s="5">
        <v>12.3</v>
      </c>
      <c r="O46" s="8">
        <f>ROUND(1.152-0.726*O45-0.00107*O47,4)</f>
        <v>0.8674</v>
      </c>
      <c r="P46" s="7"/>
      <c r="R46" s="1" cm="1">
        <f t="array" ref="R46">INDEX(V$2:V$8,MATCH(O46,V$2:V$8)+1)</f>
        <v>0.9</v>
      </c>
      <c r="S46" s="1" cm="1">
        <f t="array" ref="S46">INDEX(W$2:W$8,MATCH(O46,V$2:V$8)+1)</f>
        <v>3</v>
      </c>
    </row>
    <row r="47" spans="1:16">
      <c r="A47" s="4"/>
      <c r="B47" s="4" t="s">
        <v>8</v>
      </c>
      <c r="C47" s="5">
        <f t="shared" ref="C47:N47" si="14">IF((C45-C46)&gt;0,C45-C46,0)</f>
        <v>3</v>
      </c>
      <c r="D47" s="5">
        <f t="shared" si="14"/>
        <v>3</v>
      </c>
      <c r="E47" s="5">
        <f t="shared" si="14"/>
        <v>2.8</v>
      </c>
      <c r="F47" s="5">
        <f t="shared" si="14"/>
        <v>0</v>
      </c>
      <c r="G47" s="5">
        <f t="shared" si="14"/>
        <v>30.5</v>
      </c>
      <c r="H47" s="5">
        <f t="shared" si="14"/>
        <v>56.3</v>
      </c>
      <c r="I47" s="5">
        <f t="shared" si="14"/>
        <v>0</v>
      </c>
      <c r="J47" s="5">
        <f t="shared" si="14"/>
        <v>0</v>
      </c>
      <c r="K47" s="5">
        <f t="shared" si="14"/>
        <v>0</v>
      </c>
      <c r="L47" s="5">
        <f t="shared" si="14"/>
        <v>0</v>
      </c>
      <c r="M47" s="5">
        <f t="shared" si="14"/>
        <v>0</v>
      </c>
      <c r="N47" s="5">
        <f t="shared" si="14"/>
        <v>3.9</v>
      </c>
      <c r="O47" s="9">
        <f>SUM(C47:N47)</f>
        <v>99.5</v>
      </c>
      <c r="P47" s="7"/>
    </row>
    <row r="48" spans="1:19">
      <c r="A48" s="4" t="s">
        <v>23</v>
      </c>
      <c r="B48" s="4" t="s">
        <v>6</v>
      </c>
      <c r="C48" s="5">
        <v>23.4</v>
      </c>
      <c r="D48" s="5">
        <v>29.1</v>
      </c>
      <c r="E48" s="5">
        <v>52.2</v>
      </c>
      <c r="F48" s="5">
        <v>70.5</v>
      </c>
      <c r="G48" s="5">
        <v>108.6</v>
      </c>
      <c r="H48" s="5">
        <v>131.2</v>
      </c>
      <c r="I48" s="5">
        <v>151.3</v>
      </c>
      <c r="J48" s="5">
        <v>146.2</v>
      </c>
      <c r="K48" s="5">
        <v>89.9</v>
      </c>
      <c r="L48" s="5">
        <v>62.5</v>
      </c>
      <c r="M48" s="5">
        <v>31.9</v>
      </c>
      <c r="N48" s="5">
        <v>21.7</v>
      </c>
      <c r="O48" s="8">
        <f>(C48+D48+K48+L48+M48+N48)/SUM(C48:N48)</f>
        <v>0.281437125748503</v>
      </c>
      <c r="P48" s="7" cm="1">
        <f t="array" ref="P48">ROUND(TREND(S48:S49,R48:R49,O49),2)</f>
        <v>3.07</v>
      </c>
      <c r="R48" s="1" cm="1">
        <f t="array" ref="R48">INDEX(V$2:V$8,MATCH(O49,V$2:V$8))</f>
        <v>0.8</v>
      </c>
      <c r="S48" s="1" cm="1">
        <f t="array" ref="S48">INDEX(W$2:W$8,MATCH(O49,V$2:V$8))</f>
        <v>3.5</v>
      </c>
    </row>
    <row r="49" spans="1:19">
      <c r="A49" s="4"/>
      <c r="B49" s="4" t="s">
        <v>7</v>
      </c>
      <c r="C49" s="5">
        <v>26.4</v>
      </c>
      <c r="D49" s="5">
        <v>30.3</v>
      </c>
      <c r="E49" s="5">
        <v>55.9</v>
      </c>
      <c r="F49" s="5">
        <v>99.4</v>
      </c>
      <c r="G49" s="5">
        <v>119.5</v>
      </c>
      <c r="H49" s="5">
        <v>136.5</v>
      </c>
      <c r="I49" s="5">
        <v>184.6</v>
      </c>
      <c r="J49" s="5">
        <v>114</v>
      </c>
      <c r="K49" s="5">
        <v>73.7</v>
      </c>
      <c r="L49" s="5">
        <v>53.1</v>
      </c>
      <c r="M49" s="5">
        <v>47.2</v>
      </c>
      <c r="N49" s="5">
        <v>22.8</v>
      </c>
      <c r="O49" s="8">
        <f>ROUND(1.152-0.726*O48-0.00107*O50,4)</f>
        <v>0.8858</v>
      </c>
      <c r="P49" s="7"/>
      <c r="R49" s="1" cm="1">
        <f t="array" ref="R49">INDEX(V$2:V$8,MATCH(O49,V$2:V$8)+1)</f>
        <v>0.9</v>
      </c>
      <c r="S49" s="1" cm="1">
        <f t="array" ref="S49">INDEX(W$2:W$8,MATCH(O49,V$2:V$8)+1)</f>
        <v>3</v>
      </c>
    </row>
    <row r="50" spans="1:16">
      <c r="A50" s="4"/>
      <c r="B50" s="4" t="s">
        <v>8</v>
      </c>
      <c r="C50" s="5">
        <f t="shared" ref="C50:N50" si="15">IF((C48-C49)&gt;0,C48-C49,0)</f>
        <v>0</v>
      </c>
      <c r="D50" s="5">
        <f t="shared" si="15"/>
        <v>0</v>
      </c>
      <c r="E50" s="5">
        <f t="shared" si="15"/>
        <v>0</v>
      </c>
      <c r="F50" s="5">
        <f t="shared" si="15"/>
        <v>0</v>
      </c>
      <c r="G50" s="5">
        <f t="shared" si="15"/>
        <v>0</v>
      </c>
      <c r="H50" s="5">
        <f t="shared" si="15"/>
        <v>0</v>
      </c>
      <c r="I50" s="5">
        <f t="shared" si="15"/>
        <v>0</v>
      </c>
      <c r="J50" s="5">
        <f t="shared" si="15"/>
        <v>32.2</v>
      </c>
      <c r="K50" s="5">
        <f t="shared" si="15"/>
        <v>16.2</v>
      </c>
      <c r="L50" s="5">
        <f t="shared" si="15"/>
        <v>9.4</v>
      </c>
      <c r="M50" s="5">
        <f t="shared" si="15"/>
        <v>0</v>
      </c>
      <c r="N50" s="5">
        <f t="shared" si="15"/>
        <v>0</v>
      </c>
      <c r="O50" s="9">
        <f>SUM(C50:N50)</f>
        <v>57.8</v>
      </c>
      <c r="P50" s="7"/>
    </row>
    <row r="51" spans="1:19">
      <c r="A51" s="4" t="s">
        <v>24</v>
      </c>
      <c r="B51" s="4" t="s">
        <v>6</v>
      </c>
      <c r="C51" s="5">
        <v>20.1</v>
      </c>
      <c r="D51" s="5">
        <v>24.8</v>
      </c>
      <c r="E51" s="5">
        <v>45.6</v>
      </c>
      <c r="F51" s="5">
        <v>61.7</v>
      </c>
      <c r="G51" s="5">
        <v>96.5</v>
      </c>
      <c r="H51" s="5">
        <v>120.2</v>
      </c>
      <c r="I51" s="5">
        <v>146.8</v>
      </c>
      <c r="J51" s="5">
        <v>136.9</v>
      </c>
      <c r="K51" s="5">
        <v>82.3</v>
      </c>
      <c r="L51" s="5">
        <v>54.4</v>
      </c>
      <c r="M51" s="5">
        <v>27</v>
      </c>
      <c r="N51" s="5">
        <v>18.8</v>
      </c>
      <c r="O51" s="8">
        <f>(C51+D51+K51+L51+M51+N51)/SUM(C51:N51)</f>
        <v>0.272302718237337</v>
      </c>
      <c r="P51" s="10" cm="1">
        <f t="array" ref="P51">ROUND(TREND(S51:S52,R51:R52,O52),2)</f>
        <v>3</v>
      </c>
      <c r="R51" s="1" cm="1">
        <f t="array" ref="R51">INDEX(V$2:V$8,MATCH(O52,V$2:V$8))</f>
        <v>0.9</v>
      </c>
      <c r="S51" s="1" cm="1">
        <f t="array" ref="S51">INDEX(W$2:W$8,MATCH(O52,V$2:V$8))</f>
        <v>3</v>
      </c>
    </row>
    <row r="52" spans="1:19">
      <c r="A52" s="4"/>
      <c r="B52" s="4" t="s">
        <v>7</v>
      </c>
      <c r="C52" s="5">
        <v>30</v>
      </c>
      <c r="D52" s="5">
        <v>40.7</v>
      </c>
      <c r="E52" s="5">
        <v>77.1</v>
      </c>
      <c r="F52" s="5">
        <v>132.7</v>
      </c>
      <c r="G52" s="5">
        <v>160.2</v>
      </c>
      <c r="H52" s="5">
        <v>165.9</v>
      </c>
      <c r="I52" s="5">
        <v>177.6</v>
      </c>
      <c r="J52" s="5">
        <v>124.6</v>
      </c>
      <c r="K52" s="5">
        <v>70</v>
      </c>
      <c r="L52" s="5">
        <v>74</v>
      </c>
      <c r="M52" s="5">
        <v>53.5</v>
      </c>
      <c r="N52" s="5">
        <v>31.2</v>
      </c>
      <c r="O52" s="8">
        <f>ROUND(1.152-0.726*O51-0.00107*O53,4)</f>
        <v>0.928</v>
      </c>
      <c r="P52" s="10"/>
      <c r="R52" s="1" cm="1">
        <f t="array" ref="R52">INDEX(V$2:V$8,MATCH(O52,V$2:V$8)+1)</f>
        <v>1</v>
      </c>
      <c r="S52" s="1" cm="1">
        <f t="array" ref="S52">INDEX(W$2:W$8,MATCH(O52,V$2:V$8)+1)</f>
        <v>3</v>
      </c>
    </row>
    <row r="53" spans="1:16">
      <c r="A53" s="4"/>
      <c r="B53" s="4" t="s">
        <v>8</v>
      </c>
      <c r="C53" s="5">
        <f t="shared" ref="C53:N53" si="16">IF((C51-C52)&gt;0,C51-C52,0)</f>
        <v>0</v>
      </c>
      <c r="D53" s="5">
        <f t="shared" si="16"/>
        <v>0</v>
      </c>
      <c r="E53" s="5">
        <f t="shared" si="16"/>
        <v>0</v>
      </c>
      <c r="F53" s="5">
        <f t="shared" si="16"/>
        <v>0</v>
      </c>
      <c r="G53" s="5">
        <f t="shared" si="16"/>
        <v>0</v>
      </c>
      <c r="H53" s="5">
        <f t="shared" si="16"/>
        <v>0</v>
      </c>
      <c r="I53" s="5">
        <f t="shared" si="16"/>
        <v>0</v>
      </c>
      <c r="J53" s="5">
        <f t="shared" si="16"/>
        <v>12.3</v>
      </c>
      <c r="K53" s="5">
        <f t="shared" si="16"/>
        <v>12.3</v>
      </c>
      <c r="L53" s="5">
        <f t="shared" si="16"/>
        <v>0</v>
      </c>
      <c r="M53" s="5">
        <f t="shared" si="16"/>
        <v>0</v>
      </c>
      <c r="N53" s="5">
        <f t="shared" si="16"/>
        <v>0</v>
      </c>
      <c r="O53" s="9">
        <f>SUM(C53:N53)</f>
        <v>24.6</v>
      </c>
      <c r="P53" s="10"/>
    </row>
    <row r="54" spans="1:19">
      <c r="A54" s="4" t="s">
        <v>25</v>
      </c>
      <c r="B54" s="4" t="s">
        <v>6</v>
      </c>
      <c r="C54" s="5">
        <v>29.1</v>
      </c>
      <c r="D54" s="5">
        <v>27.9</v>
      </c>
      <c r="E54" s="5">
        <v>47.1</v>
      </c>
      <c r="F54" s="5">
        <v>59.4</v>
      </c>
      <c r="G54" s="5">
        <v>90.6</v>
      </c>
      <c r="H54" s="5">
        <v>105.8</v>
      </c>
      <c r="I54" s="5">
        <v>151.5</v>
      </c>
      <c r="J54" s="5">
        <v>137.7</v>
      </c>
      <c r="K54" s="5">
        <v>98.6</v>
      </c>
      <c r="L54" s="5">
        <v>68.5</v>
      </c>
      <c r="M54" s="5">
        <v>35.7</v>
      </c>
      <c r="N54" s="5">
        <v>27.5</v>
      </c>
      <c r="O54" s="8">
        <f>(C54+D54+K54+L54+M54+N54)/SUM(C54:N54)</f>
        <v>0.326700022742779</v>
      </c>
      <c r="P54" s="7" cm="1">
        <f t="array" ref="P54">ROUND(TREND(S54:S55,R54:R55,O55),2)</f>
        <v>3.45</v>
      </c>
      <c r="R54" s="1" cm="1">
        <f t="array" ref="R54">INDEX(V$2:V$8,MATCH(O55,V$2:V$8))</f>
        <v>0.8</v>
      </c>
      <c r="S54" s="1" cm="1">
        <f t="array" ref="S54">INDEX(W$2:W$8,MATCH(O55,V$2:V$8))</f>
        <v>3.5</v>
      </c>
    </row>
    <row r="55" spans="1:19">
      <c r="A55" s="4"/>
      <c r="B55" s="4" t="s">
        <v>7</v>
      </c>
      <c r="C55" s="5">
        <v>55</v>
      </c>
      <c r="D55" s="5">
        <v>89</v>
      </c>
      <c r="E55" s="5">
        <v>131.9</v>
      </c>
      <c r="F55" s="5">
        <v>250.1</v>
      </c>
      <c r="G55" s="5">
        <v>231</v>
      </c>
      <c r="H55" s="5">
        <v>198.9</v>
      </c>
      <c r="I55" s="5">
        <v>110.6</v>
      </c>
      <c r="J55" s="5">
        <v>130.8</v>
      </c>
      <c r="K55" s="5">
        <v>48.3</v>
      </c>
      <c r="L55" s="5">
        <v>69.9</v>
      </c>
      <c r="M55" s="5">
        <v>86</v>
      </c>
      <c r="N55" s="5">
        <v>58.6</v>
      </c>
      <c r="O55" s="8">
        <f>ROUND(1.152-0.726*O54-0.00107*O56,4)</f>
        <v>0.8098</v>
      </c>
      <c r="P55" s="7"/>
      <c r="R55" s="1" cm="1">
        <f t="array" ref="R55">INDEX(V$2:V$8,MATCH(O55,V$2:V$8)+1)</f>
        <v>0.9</v>
      </c>
      <c r="S55" s="1" cm="1">
        <f t="array" ref="S55">INDEX(W$2:W$8,MATCH(O55,V$2:V$8)+1)</f>
        <v>3</v>
      </c>
    </row>
    <row r="56" spans="1:16">
      <c r="A56" s="4"/>
      <c r="B56" s="4" t="s">
        <v>8</v>
      </c>
      <c r="C56" s="5">
        <f t="shared" ref="C56:N56" si="17">IF((C54-C55)&gt;0,C54-C55,0)</f>
        <v>0</v>
      </c>
      <c r="D56" s="5">
        <f t="shared" si="17"/>
        <v>0</v>
      </c>
      <c r="E56" s="5">
        <f t="shared" si="17"/>
        <v>0</v>
      </c>
      <c r="F56" s="5">
        <f t="shared" si="17"/>
        <v>0</v>
      </c>
      <c r="G56" s="5">
        <f t="shared" si="17"/>
        <v>0</v>
      </c>
      <c r="H56" s="5">
        <f t="shared" si="17"/>
        <v>0</v>
      </c>
      <c r="I56" s="5">
        <f t="shared" si="17"/>
        <v>40.9</v>
      </c>
      <c r="J56" s="5">
        <f t="shared" si="17"/>
        <v>6.89999999999998</v>
      </c>
      <c r="K56" s="5">
        <f t="shared" si="17"/>
        <v>50.3</v>
      </c>
      <c r="L56" s="5">
        <f t="shared" si="17"/>
        <v>0</v>
      </c>
      <c r="M56" s="5">
        <f t="shared" si="17"/>
        <v>0</v>
      </c>
      <c r="N56" s="5">
        <f t="shared" si="17"/>
        <v>0</v>
      </c>
      <c r="O56" s="9">
        <f>SUM(C56:N56)</f>
        <v>98.1</v>
      </c>
      <c r="P56" s="7"/>
    </row>
    <row r="57" spans="1:19">
      <c r="A57" s="4" t="s">
        <v>26</v>
      </c>
      <c r="B57" s="4" t="s">
        <v>6</v>
      </c>
      <c r="C57" s="5">
        <v>32.5</v>
      </c>
      <c r="D57" s="5">
        <v>31.2</v>
      </c>
      <c r="E57" s="5">
        <v>47.7</v>
      </c>
      <c r="F57" s="5">
        <v>61.6</v>
      </c>
      <c r="G57" s="5">
        <v>91.5</v>
      </c>
      <c r="H57" s="5">
        <v>106.7</v>
      </c>
      <c r="I57" s="5">
        <v>138.4</v>
      </c>
      <c r="J57" s="5">
        <v>133.5</v>
      </c>
      <c r="K57" s="5">
        <v>106.9</v>
      </c>
      <c r="L57" s="5">
        <v>78.5</v>
      </c>
      <c r="M57" s="5">
        <v>42.9</v>
      </c>
      <c r="N57" s="5">
        <v>33.5</v>
      </c>
      <c r="O57" s="8">
        <f>(C57+D57+K57+L57+M57+N57)/SUM(C57:N57)</f>
        <v>0.359708255055807</v>
      </c>
      <c r="P57" s="7" cm="1">
        <f t="array" ref="P57">ROUND(TREND(S57:S58,R57:R58,O58),2)</f>
        <v>3.27</v>
      </c>
      <c r="R57" s="1" cm="1">
        <f t="array" ref="R57">INDEX(V$2:V$8,MATCH(O58,V$2:V$8))</f>
        <v>0.8</v>
      </c>
      <c r="S57" s="1" cm="1">
        <f t="array" ref="S57">INDEX(W$2:W$8,MATCH(O58,V$2:V$8))</f>
        <v>3.5</v>
      </c>
    </row>
    <row r="58" spans="1:19">
      <c r="A58" s="4"/>
      <c r="B58" s="4" t="s">
        <v>7</v>
      </c>
      <c r="C58" s="5">
        <v>55.6</v>
      </c>
      <c r="D58" s="5">
        <v>76.1</v>
      </c>
      <c r="E58" s="5">
        <v>134</v>
      </c>
      <c r="F58" s="5">
        <v>279.7</v>
      </c>
      <c r="G58" s="5">
        <v>318.4</v>
      </c>
      <c r="H58" s="5">
        <v>315.8</v>
      </c>
      <c r="I58" s="5">
        <v>224.2</v>
      </c>
      <c r="J58" s="5">
        <v>166.9</v>
      </c>
      <c r="K58" s="5">
        <v>65.2</v>
      </c>
      <c r="L58" s="5">
        <v>97.3</v>
      </c>
      <c r="M58" s="5">
        <v>83.2</v>
      </c>
      <c r="N58" s="5">
        <v>56.6</v>
      </c>
      <c r="O58" s="8">
        <f>ROUND(1.152-0.726*O57-0.00107*O59,4)</f>
        <v>0.8462</v>
      </c>
      <c r="P58" s="7"/>
      <c r="R58" s="1" cm="1">
        <f t="array" ref="R58">INDEX(V$2:V$8,MATCH(O58,V$2:V$8)+1)</f>
        <v>0.9</v>
      </c>
      <c r="S58" s="1" cm="1">
        <f t="array" ref="S58">INDEX(W$2:W$8,MATCH(O58,V$2:V$8)+1)</f>
        <v>3</v>
      </c>
    </row>
    <row r="59" spans="1:16">
      <c r="A59" s="4"/>
      <c r="B59" s="4" t="s">
        <v>8</v>
      </c>
      <c r="C59" s="5">
        <f t="shared" ref="C59:N59" si="18">IF((C57-C58)&gt;0,C57-C58,0)</f>
        <v>0</v>
      </c>
      <c r="D59" s="5">
        <f t="shared" si="18"/>
        <v>0</v>
      </c>
      <c r="E59" s="5">
        <f t="shared" si="18"/>
        <v>0</v>
      </c>
      <c r="F59" s="5">
        <f t="shared" si="18"/>
        <v>0</v>
      </c>
      <c r="G59" s="5">
        <f t="shared" si="18"/>
        <v>0</v>
      </c>
      <c r="H59" s="5">
        <f t="shared" si="18"/>
        <v>0</v>
      </c>
      <c r="I59" s="5">
        <f t="shared" si="18"/>
        <v>0</v>
      </c>
      <c r="J59" s="5">
        <f t="shared" si="18"/>
        <v>0</v>
      </c>
      <c r="K59" s="5">
        <f t="shared" si="18"/>
        <v>41.7</v>
      </c>
      <c r="L59" s="5">
        <f t="shared" si="18"/>
        <v>0</v>
      </c>
      <c r="M59" s="5">
        <f t="shared" si="18"/>
        <v>0</v>
      </c>
      <c r="N59" s="5">
        <f t="shared" si="18"/>
        <v>0</v>
      </c>
      <c r="O59" s="9">
        <f>SUM(C59:N59)</f>
        <v>41.7</v>
      </c>
      <c r="P59" s="7"/>
    </row>
    <row r="60" spans="1:19">
      <c r="A60" s="4" t="s">
        <v>27</v>
      </c>
      <c r="B60" s="4" t="s">
        <v>6</v>
      </c>
      <c r="C60" s="5">
        <v>31.6</v>
      </c>
      <c r="D60" s="5">
        <v>36.9</v>
      </c>
      <c r="E60" s="5">
        <v>67.6</v>
      </c>
      <c r="F60" s="5">
        <v>90.5</v>
      </c>
      <c r="G60" s="5">
        <v>123.1</v>
      </c>
      <c r="H60" s="5">
        <v>117.9</v>
      </c>
      <c r="I60" s="5">
        <v>134.1</v>
      </c>
      <c r="J60" s="5">
        <v>128.8</v>
      </c>
      <c r="K60" s="5">
        <v>96.8</v>
      </c>
      <c r="L60" s="5">
        <v>68.3</v>
      </c>
      <c r="M60" s="5">
        <v>40</v>
      </c>
      <c r="N60" s="5">
        <v>26.4</v>
      </c>
      <c r="O60" s="8">
        <f>(C60+D60+K60+L60+M60+N60)/SUM(C60:N60)</f>
        <v>0.311850311850312</v>
      </c>
      <c r="P60" s="7" cm="1">
        <f t="array" ref="P60">ROUND(TREND(S60:S61,R60:R61,O61),2)</f>
        <v>3.41</v>
      </c>
      <c r="R60" s="1" cm="1">
        <f t="array" ref="R60">INDEX(V$2:V$8,MATCH(O61,V$2:V$8))</f>
        <v>0.8</v>
      </c>
      <c r="S60" s="1" cm="1">
        <f t="array" ref="S60">INDEX(W$2:W$8,MATCH(O61,V$2:V$8))</f>
        <v>3.5</v>
      </c>
    </row>
    <row r="61" spans="1:19">
      <c r="A61" s="4"/>
      <c r="B61" s="4" t="s">
        <v>7</v>
      </c>
      <c r="C61" s="5">
        <v>19.9</v>
      </c>
      <c r="D61" s="5">
        <v>17.3</v>
      </c>
      <c r="E61" s="5">
        <v>31.1</v>
      </c>
      <c r="F61" s="5">
        <v>66.1</v>
      </c>
      <c r="G61" s="5">
        <v>168.7</v>
      </c>
      <c r="H61" s="5">
        <v>195.7</v>
      </c>
      <c r="I61" s="5">
        <v>170.3</v>
      </c>
      <c r="J61" s="5">
        <v>189.3</v>
      </c>
      <c r="K61" s="5">
        <v>109.4</v>
      </c>
      <c r="L61" s="5">
        <v>81.3</v>
      </c>
      <c r="M61" s="5">
        <v>39.6</v>
      </c>
      <c r="N61" s="5">
        <v>17.7</v>
      </c>
      <c r="O61" s="8">
        <f>ROUND(1.152-0.726*O60-0.00107*O62,4)</f>
        <v>0.8172</v>
      </c>
      <c r="P61" s="7"/>
      <c r="R61" s="1" cm="1">
        <f t="array" ref="R61">INDEX(V$2:V$8,MATCH(O61,V$2:V$8)+1)</f>
        <v>0.9</v>
      </c>
      <c r="S61" s="1" cm="1">
        <f t="array" ref="S61">INDEX(W$2:W$8,MATCH(O61,V$2:V$8)+1)</f>
        <v>3</v>
      </c>
    </row>
    <row r="62" spans="1:16">
      <c r="A62" s="4"/>
      <c r="B62" s="4" t="s">
        <v>8</v>
      </c>
      <c r="C62" s="5">
        <f t="shared" ref="C62:N62" si="19">IF((C60-C61)&gt;0,C60-C61,0)</f>
        <v>11.7</v>
      </c>
      <c r="D62" s="5">
        <f t="shared" si="19"/>
        <v>19.6</v>
      </c>
      <c r="E62" s="5">
        <f t="shared" si="19"/>
        <v>36.5</v>
      </c>
      <c r="F62" s="5">
        <f t="shared" si="19"/>
        <v>24.4</v>
      </c>
      <c r="G62" s="5">
        <f t="shared" si="19"/>
        <v>0</v>
      </c>
      <c r="H62" s="5">
        <f t="shared" si="19"/>
        <v>0</v>
      </c>
      <c r="I62" s="5">
        <f t="shared" si="19"/>
        <v>0</v>
      </c>
      <c r="J62" s="5">
        <f t="shared" si="19"/>
        <v>0</v>
      </c>
      <c r="K62" s="5">
        <f t="shared" si="19"/>
        <v>0</v>
      </c>
      <c r="L62" s="5">
        <f t="shared" si="19"/>
        <v>0</v>
      </c>
      <c r="M62" s="5">
        <f t="shared" si="19"/>
        <v>0.399999999999999</v>
      </c>
      <c r="N62" s="5">
        <f t="shared" si="19"/>
        <v>8.7</v>
      </c>
      <c r="O62" s="9">
        <f>SUM(C62:N62)</f>
        <v>101.3</v>
      </c>
      <c r="P62" s="7"/>
    </row>
    <row r="63" spans="1:19">
      <c r="A63" s="4" t="s">
        <v>28</v>
      </c>
      <c r="B63" s="4" t="s">
        <v>6</v>
      </c>
      <c r="C63" s="5">
        <v>37.1</v>
      </c>
      <c r="D63" s="5">
        <v>41.2</v>
      </c>
      <c r="E63" s="5">
        <v>70.1</v>
      </c>
      <c r="F63" s="5">
        <v>68</v>
      </c>
      <c r="G63" s="5">
        <v>125.5</v>
      </c>
      <c r="H63" s="5">
        <v>122</v>
      </c>
      <c r="I63" s="5">
        <v>138.5</v>
      </c>
      <c r="J63" s="5">
        <v>132.8</v>
      </c>
      <c r="K63" s="5">
        <v>101.1</v>
      </c>
      <c r="L63" s="5">
        <v>73.9</v>
      </c>
      <c r="M63" s="5">
        <v>42.7</v>
      </c>
      <c r="N63" s="5">
        <v>35.5</v>
      </c>
      <c r="O63" s="8">
        <f>(C63+D63+K63+L63+M63+N63)/SUM(C63:N63)</f>
        <v>0.335390530149737</v>
      </c>
      <c r="P63" s="7" cm="1">
        <f t="array" ref="P63">ROUND(TREND(S63:S64,R63:R64,O64),2)</f>
        <v>3.49</v>
      </c>
      <c r="R63" s="1" cm="1">
        <f t="array" ref="R63">INDEX(V$2:V$8,MATCH(O64,V$2:V$8))</f>
        <v>0.8</v>
      </c>
      <c r="S63" s="1" cm="1">
        <f t="array" ref="S63">INDEX(W$2:W$8,MATCH(O64,V$2:V$8))</f>
        <v>3.5</v>
      </c>
    </row>
    <row r="64" spans="1:19">
      <c r="A64" s="4"/>
      <c r="B64" s="4" t="s">
        <v>7</v>
      </c>
      <c r="C64" s="5">
        <v>17.4</v>
      </c>
      <c r="D64" s="5">
        <v>22.3</v>
      </c>
      <c r="E64" s="5">
        <v>37.2</v>
      </c>
      <c r="F64" s="5">
        <v>66</v>
      </c>
      <c r="G64" s="5">
        <v>159.4</v>
      </c>
      <c r="H64" s="5">
        <v>213.5</v>
      </c>
      <c r="I64" s="5">
        <v>153.7</v>
      </c>
      <c r="J64" s="5">
        <v>211.2</v>
      </c>
      <c r="K64" s="5">
        <v>134.5</v>
      </c>
      <c r="L64" s="5">
        <v>67.3</v>
      </c>
      <c r="M64" s="5">
        <v>37.2</v>
      </c>
      <c r="N64" s="5">
        <v>22.4</v>
      </c>
      <c r="O64" s="8">
        <f>ROUND(1.152-0.726*O63-0.00107*O65,4)</f>
        <v>0.8029</v>
      </c>
      <c r="P64" s="7"/>
      <c r="R64" s="1" cm="1">
        <f t="array" ref="R64">INDEX(V$2:V$8,MATCH(O64,V$2:V$8)+1)</f>
        <v>0.9</v>
      </c>
      <c r="S64" s="1" cm="1">
        <f t="array" ref="S64">INDEX(W$2:W$8,MATCH(O64,V$2:V$8)+1)</f>
        <v>3</v>
      </c>
    </row>
    <row r="65" spans="1:16">
      <c r="A65" s="4"/>
      <c r="B65" s="4" t="s">
        <v>8</v>
      </c>
      <c r="C65" s="5">
        <f t="shared" ref="C65:N65" si="20">IF((C63-C64)&gt;0,C63-C64,0)</f>
        <v>19.7</v>
      </c>
      <c r="D65" s="5">
        <f t="shared" si="20"/>
        <v>18.9</v>
      </c>
      <c r="E65" s="5">
        <f t="shared" si="20"/>
        <v>32.9</v>
      </c>
      <c r="F65" s="5">
        <f t="shared" si="20"/>
        <v>2</v>
      </c>
      <c r="G65" s="5">
        <f t="shared" si="20"/>
        <v>0</v>
      </c>
      <c r="H65" s="5">
        <f t="shared" si="20"/>
        <v>0</v>
      </c>
      <c r="I65" s="5">
        <f t="shared" si="20"/>
        <v>0</v>
      </c>
      <c r="J65" s="5">
        <f t="shared" si="20"/>
        <v>0</v>
      </c>
      <c r="K65" s="5">
        <f t="shared" si="20"/>
        <v>0</v>
      </c>
      <c r="L65" s="5">
        <f t="shared" si="20"/>
        <v>6.60000000000001</v>
      </c>
      <c r="M65" s="5">
        <f t="shared" si="20"/>
        <v>5.5</v>
      </c>
      <c r="N65" s="5">
        <f t="shared" si="20"/>
        <v>13.1</v>
      </c>
      <c r="O65" s="9">
        <f>SUM(C65:N65)</f>
        <v>98.7</v>
      </c>
      <c r="P65" s="7"/>
    </row>
    <row r="66" spans="1:19">
      <c r="A66" s="4" t="s">
        <v>29</v>
      </c>
      <c r="B66" s="4" t="s">
        <v>6</v>
      </c>
      <c r="C66" s="5">
        <v>41.8</v>
      </c>
      <c r="D66" s="5">
        <v>36.7</v>
      </c>
      <c r="E66" s="5">
        <v>52.7</v>
      </c>
      <c r="F66" s="5">
        <v>67.6</v>
      </c>
      <c r="G66" s="5">
        <v>110.6</v>
      </c>
      <c r="H66" s="5">
        <v>109.2</v>
      </c>
      <c r="I66" s="5">
        <v>135</v>
      </c>
      <c r="J66" s="5">
        <v>133.1</v>
      </c>
      <c r="K66" s="5">
        <v>111.4</v>
      </c>
      <c r="L66" s="5">
        <v>91.2</v>
      </c>
      <c r="M66" s="5">
        <v>52.1</v>
      </c>
      <c r="N66" s="5">
        <v>42.1</v>
      </c>
      <c r="O66" s="8">
        <f>(C66+D66+K66+L66+M66+N66)/SUM(C66:N66)</f>
        <v>0.381596339603457</v>
      </c>
      <c r="P66" s="10" cm="1">
        <f t="array" ref="P66">ROUND(TREND(S66:S67,R66:R67,O67),2)</f>
        <v>3.51</v>
      </c>
      <c r="R66" s="1" cm="1">
        <f t="array" ref="R66">INDEX(V$2:V$8,MATCH(O67,V$2:V$8))</f>
        <v>0.7</v>
      </c>
      <c r="S66" s="1" cm="1">
        <f t="array" ref="S66">INDEX(W$2:W$8,MATCH(O67,V$2:V$8))</f>
        <v>4</v>
      </c>
    </row>
    <row r="67" spans="1:19">
      <c r="A67" s="4"/>
      <c r="B67" s="4" t="s">
        <v>7</v>
      </c>
      <c r="C67" s="5">
        <v>33.3</v>
      </c>
      <c r="D67" s="5">
        <v>48.4</v>
      </c>
      <c r="E67" s="5">
        <v>63.2</v>
      </c>
      <c r="F67" s="5">
        <v>144</v>
      </c>
      <c r="G67" s="5">
        <v>183.6</v>
      </c>
      <c r="H67" s="5">
        <v>302.5</v>
      </c>
      <c r="I67" s="5">
        <v>221.4</v>
      </c>
      <c r="J67" s="5">
        <v>244.9</v>
      </c>
      <c r="K67" s="5">
        <v>101.4</v>
      </c>
      <c r="L67" s="5">
        <v>66.6</v>
      </c>
      <c r="M67" s="5">
        <v>38</v>
      </c>
      <c r="N67" s="5">
        <v>27.4</v>
      </c>
      <c r="O67" s="8">
        <f>ROUND(1.152-0.726*O66-0.00107*O68,4)</f>
        <v>0.798</v>
      </c>
      <c r="P67" s="10"/>
      <c r="R67" s="1" cm="1">
        <f t="array" ref="R67">INDEX(V$2:V$8,MATCH(O67,V$2:V$8)+1)</f>
        <v>0.8</v>
      </c>
      <c r="S67" s="1" cm="1">
        <f t="array" ref="S67">INDEX(W$2:W$8,MATCH(O67,V$2:V$8)+1)</f>
        <v>3.5</v>
      </c>
    </row>
    <row r="68" spans="1:16">
      <c r="A68" s="4"/>
      <c r="B68" s="4" t="s">
        <v>8</v>
      </c>
      <c r="C68" s="5">
        <f t="shared" ref="C68:N68" si="21">IF((C66-C67)&gt;0,C66-C67,0)</f>
        <v>8.5</v>
      </c>
      <c r="D68" s="5">
        <f t="shared" si="21"/>
        <v>0</v>
      </c>
      <c r="E68" s="5">
        <f t="shared" si="21"/>
        <v>0</v>
      </c>
      <c r="F68" s="5">
        <f t="shared" si="21"/>
        <v>0</v>
      </c>
      <c r="G68" s="5">
        <f t="shared" si="21"/>
        <v>0</v>
      </c>
      <c r="H68" s="5">
        <f t="shared" si="21"/>
        <v>0</v>
      </c>
      <c r="I68" s="5">
        <f t="shared" si="21"/>
        <v>0</v>
      </c>
      <c r="J68" s="5">
        <f t="shared" si="21"/>
        <v>0</v>
      </c>
      <c r="K68" s="5">
        <f t="shared" si="21"/>
        <v>10</v>
      </c>
      <c r="L68" s="5">
        <f t="shared" si="21"/>
        <v>24.6</v>
      </c>
      <c r="M68" s="5">
        <f t="shared" si="21"/>
        <v>14.1</v>
      </c>
      <c r="N68" s="5">
        <f t="shared" si="21"/>
        <v>14.7</v>
      </c>
      <c r="O68" s="9">
        <f>SUM(C68:N68)</f>
        <v>71.9</v>
      </c>
      <c r="P68" s="10"/>
    </row>
    <row r="69" spans="1:19">
      <c r="A69" s="4" t="s">
        <v>30</v>
      </c>
      <c r="B69" s="4" t="s">
        <v>6</v>
      </c>
      <c r="C69" s="5">
        <v>25.1</v>
      </c>
      <c r="D69" s="5">
        <v>33.4</v>
      </c>
      <c r="E69" s="5">
        <v>51.2</v>
      </c>
      <c r="F69" s="5">
        <v>71.3</v>
      </c>
      <c r="G69" s="5">
        <v>116</v>
      </c>
      <c r="H69" s="5">
        <v>115.7</v>
      </c>
      <c r="I69" s="5">
        <v>136.3</v>
      </c>
      <c r="J69" s="5">
        <v>130.5</v>
      </c>
      <c r="K69" s="5">
        <v>101.9</v>
      </c>
      <c r="L69" s="5">
        <v>81.7</v>
      </c>
      <c r="M69" s="5">
        <v>46.1</v>
      </c>
      <c r="N69" s="5">
        <v>35.3</v>
      </c>
      <c r="O69" s="8">
        <f>(C69+D69+K69+L69+M69+N69)/SUM(C69:N69)</f>
        <v>0.342509264160932</v>
      </c>
      <c r="P69" s="7" cm="1">
        <f t="array" ref="P69">ROUND(TREND(S69:S70,R69:R70,O70),2)</f>
        <v>3.13</v>
      </c>
      <c r="R69" s="1" cm="1">
        <f t="array" ref="R69">INDEX(V$2:V$8,MATCH(O70,V$2:V$8))</f>
        <v>0.8</v>
      </c>
      <c r="S69" s="1" cm="1">
        <f t="array" ref="S69">INDEX(W$2:W$8,MATCH(O70,V$2:V$8))</f>
        <v>3.5</v>
      </c>
    </row>
    <row r="70" spans="1:19">
      <c r="A70" s="4"/>
      <c r="B70" s="4" t="s">
        <v>7</v>
      </c>
      <c r="C70" s="5">
        <v>40.2</v>
      </c>
      <c r="D70" s="5">
        <v>41.8</v>
      </c>
      <c r="E70" s="5">
        <v>63</v>
      </c>
      <c r="F70" s="5">
        <v>84.1</v>
      </c>
      <c r="G70" s="5">
        <v>183.3</v>
      </c>
      <c r="H70" s="5">
        <v>241.8</v>
      </c>
      <c r="I70" s="5">
        <v>179.9</v>
      </c>
      <c r="J70" s="5">
        <v>203.6</v>
      </c>
      <c r="K70" s="5">
        <v>110.1</v>
      </c>
      <c r="L70" s="5">
        <v>67</v>
      </c>
      <c r="M70" s="5">
        <v>43.3</v>
      </c>
      <c r="N70" s="5">
        <v>25.1</v>
      </c>
      <c r="O70" s="8">
        <f>ROUND(1.152-0.726*O69-0.00107*O71,4)</f>
        <v>0.8737</v>
      </c>
      <c r="P70" s="7"/>
      <c r="R70" s="1" cm="1">
        <f t="array" ref="R70">INDEX(V$2:V$8,MATCH(O70,V$2:V$8)+1)</f>
        <v>0.9</v>
      </c>
      <c r="S70" s="1" cm="1">
        <f t="array" ref="S70">INDEX(W$2:W$8,MATCH(O70,V$2:V$8)+1)</f>
        <v>3</v>
      </c>
    </row>
    <row r="71" spans="1:16">
      <c r="A71" s="4"/>
      <c r="B71" s="4" t="s">
        <v>8</v>
      </c>
      <c r="C71" s="5">
        <f t="shared" ref="C71:N71" si="22">IF((C69-C70)&gt;0,C69-C70,0)</f>
        <v>0</v>
      </c>
      <c r="D71" s="5">
        <f t="shared" si="22"/>
        <v>0</v>
      </c>
      <c r="E71" s="5">
        <f t="shared" si="22"/>
        <v>0</v>
      </c>
      <c r="F71" s="5">
        <f t="shared" si="22"/>
        <v>0</v>
      </c>
      <c r="G71" s="5">
        <f t="shared" si="22"/>
        <v>0</v>
      </c>
      <c r="H71" s="5">
        <f t="shared" si="22"/>
        <v>0</v>
      </c>
      <c r="I71" s="5">
        <f t="shared" si="22"/>
        <v>0</v>
      </c>
      <c r="J71" s="5">
        <f t="shared" si="22"/>
        <v>0</v>
      </c>
      <c r="K71" s="5">
        <f t="shared" si="22"/>
        <v>0</v>
      </c>
      <c r="L71" s="5">
        <f t="shared" si="22"/>
        <v>14.7</v>
      </c>
      <c r="M71" s="5">
        <f t="shared" si="22"/>
        <v>2.8</v>
      </c>
      <c r="N71" s="5">
        <f t="shared" si="22"/>
        <v>10.2</v>
      </c>
      <c r="O71" s="9">
        <f>SUM(C71:N71)</f>
        <v>27.7</v>
      </c>
      <c r="P71" s="7"/>
    </row>
    <row r="72" spans="1:19">
      <c r="A72" s="4" t="s">
        <v>31</v>
      </c>
      <c r="B72" s="4" t="s">
        <v>6</v>
      </c>
      <c r="C72" s="5">
        <v>45</v>
      </c>
      <c r="D72" s="5">
        <v>34.7</v>
      </c>
      <c r="E72" s="5">
        <v>54.9</v>
      </c>
      <c r="F72" s="5">
        <v>74.3</v>
      </c>
      <c r="G72" s="5">
        <v>123</v>
      </c>
      <c r="H72" s="5">
        <v>108.5</v>
      </c>
      <c r="I72" s="5">
        <v>127.2</v>
      </c>
      <c r="J72" s="5">
        <v>119</v>
      </c>
      <c r="K72" s="5">
        <v>91.4</v>
      </c>
      <c r="L72" s="5">
        <v>73.4</v>
      </c>
      <c r="M72" s="5">
        <v>42.5</v>
      </c>
      <c r="N72" s="5">
        <v>34.6</v>
      </c>
      <c r="O72" s="8">
        <f>(C72+D72+K72+L72+M72+N72)/SUM(C72:N72)</f>
        <v>0.346365105008078</v>
      </c>
      <c r="P72" s="10" cm="1">
        <f t="array" ref="P72">ROUND(TREND(S72:S73,R72:R73,O73),2)</f>
        <v>3.49</v>
      </c>
      <c r="R72" s="1" cm="1">
        <f t="array" ref="R72">INDEX(V$2:V$8,MATCH(O73,V$2:V$8))</f>
        <v>0.8</v>
      </c>
      <c r="S72" s="1" cm="1">
        <f t="array" ref="S72">INDEX(W$2:W$8,MATCH(O73,V$2:V$8))</f>
        <v>3.5</v>
      </c>
    </row>
    <row r="73" spans="1:19">
      <c r="A73" s="4"/>
      <c r="B73" s="4" t="s">
        <v>7</v>
      </c>
      <c r="C73" s="5">
        <v>23.4</v>
      </c>
      <c r="D73" s="5">
        <v>26</v>
      </c>
      <c r="E73" s="5">
        <v>23.1</v>
      </c>
      <c r="F73" s="5">
        <v>62.4</v>
      </c>
      <c r="G73" s="5">
        <v>126.7</v>
      </c>
      <c r="H73" s="5">
        <v>144.3</v>
      </c>
      <c r="I73" s="5">
        <v>201</v>
      </c>
      <c r="J73" s="5">
        <v>235.6</v>
      </c>
      <c r="K73" s="5">
        <v>141.7</v>
      </c>
      <c r="L73" s="5">
        <v>74</v>
      </c>
      <c r="M73" s="5">
        <v>40.4</v>
      </c>
      <c r="N73" s="5">
        <v>18</v>
      </c>
      <c r="O73" s="8">
        <f>ROUND(1.152-0.726*O72-0.00107*O74,4)</f>
        <v>0.8013</v>
      </c>
      <c r="P73" s="10"/>
      <c r="R73" s="1" cm="1">
        <f t="array" ref="R73">INDEX(V$2:V$8,MATCH(O73,V$2:V$8)+1)</f>
        <v>0.9</v>
      </c>
      <c r="S73" s="1" cm="1">
        <f t="array" ref="S73">INDEX(W$2:W$8,MATCH(O73,V$2:V$8)+1)</f>
        <v>3</v>
      </c>
    </row>
    <row r="74" spans="1:16">
      <c r="A74" s="4"/>
      <c r="B74" s="4" t="s">
        <v>8</v>
      </c>
      <c r="C74" s="5">
        <f t="shared" ref="C74:N74" si="23">IF((C72-C73)&gt;0,C72-C73,0)</f>
        <v>21.6</v>
      </c>
      <c r="D74" s="5">
        <f t="shared" si="23"/>
        <v>8.7</v>
      </c>
      <c r="E74" s="5">
        <f t="shared" si="23"/>
        <v>31.8</v>
      </c>
      <c r="F74" s="5">
        <f t="shared" si="23"/>
        <v>11.9</v>
      </c>
      <c r="G74" s="5">
        <f t="shared" si="23"/>
        <v>0</v>
      </c>
      <c r="H74" s="5">
        <f t="shared" si="23"/>
        <v>0</v>
      </c>
      <c r="I74" s="5">
        <f t="shared" si="23"/>
        <v>0</v>
      </c>
      <c r="J74" s="5">
        <f t="shared" si="23"/>
        <v>0</v>
      </c>
      <c r="K74" s="5">
        <f t="shared" si="23"/>
        <v>0</v>
      </c>
      <c r="L74" s="5">
        <f t="shared" si="23"/>
        <v>0</v>
      </c>
      <c r="M74" s="5">
        <f t="shared" si="23"/>
        <v>2.1</v>
      </c>
      <c r="N74" s="5">
        <f t="shared" si="23"/>
        <v>16.6</v>
      </c>
      <c r="O74" s="9">
        <f>SUM(C74:N74)</f>
        <v>92.7</v>
      </c>
      <c r="P74" s="10"/>
    </row>
    <row r="75" spans="1:19">
      <c r="A75" s="4" t="s">
        <v>32</v>
      </c>
      <c r="B75" s="4" t="s">
        <v>6</v>
      </c>
      <c r="C75" s="5">
        <v>36</v>
      </c>
      <c r="D75" s="5">
        <v>34.2</v>
      </c>
      <c r="E75" s="5">
        <v>51.3</v>
      </c>
      <c r="F75" s="5">
        <v>76.4</v>
      </c>
      <c r="G75" s="5">
        <v>107.5</v>
      </c>
      <c r="H75" s="5">
        <v>112.6</v>
      </c>
      <c r="I75" s="5">
        <v>140.9</v>
      </c>
      <c r="J75" s="5">
        <v>135.7</v>
      </c>
      <c r="K75" s="5">
        <v>107</v>
      </c>
      <c r="L75" s="5">
        <v>79.9</v>
      </c>
      <c r="M75" s="5">
        <v>43.4</v>
      </c>
      <c r="N75" s="5">
        <v>34.2</v>
      </c>
      <c r="O75" s="8">
        <f>(C75+D75+K75+L75+M75+N75)/SUM(C75:N75)</f>
        <v>0.34897299551663</v>
      </c>
      <c r="P75" s="7" cm="1">
        <f t="array" ref="P75">ROUND(TREND(S75:S76,R75:R76,O76),2)</f>
        <v>3.26</v>
      </c>
      <c r="R75" s="1" cm="1">
        <f t="array" ref="R75">INDEX(V$2:V$8,MATCH(O76,V$2:V$8))</f>
        <v>0.8</v>
      </c>
      <c r="S75" s="1" cm="1">
        <f t="array" ref="S75">INDEX(W$2:W$8,MATCH(O76,V$2:V$8))</f>
        <v>3.5</v>
      </c>
    </row>
    <row r="76" spans="1:19">
      <c r="A76" s="4"/>
      <c r="B76" s="4" t="s">
        <v>7</v>
      </c>
      <c r="C76" s="5">
        <v>28.8</v>
      </c>
      <c r="D76" s="5">
        <v>52.7</v>
      </c>
      <c r="E76" s="5">
        <v>67.2</v>
      </c>
      <c r="F76" s="5">
        <v>116.9</v>
      </c>
      <c r="G76" s="5">
        <v>182.8</v>
      </c>
      <c r="H76" s="5">
        <v>296.1</v>
      </c>
      <c r="I76" s="5">
        <v>195.9</v>
      </c>
      <c r="J76" s="5">
        <v>209</v>
      </c>
      <c r="K76" s="5">
        <v>68.5</v>
      </c>
      <c r="L76" s="5">
        <v>78.3</v>
      </c>
      <c r="M76" s="5">
        <v>57.3</v>
      </c>
      <c r="N76" s="5">
        <v>36.3</v>
      </c>
      <c r="O76" s="8">
        <f>ROUND(1.152-0.726*O75-0.00107*O77,4)</f>
        <v>0.848</v>
      </c>
      <c r="P76" s="7"/>
      <c r="R76" s="1" cm="1">
        <f t="array" ref="R76">INDEX(V$2:V$8,MATCH(O76,V$2:V$8)+1)</f>
        <v>0.9</v>
      </c>
      <c r="S76" s="1" cm="1">
        <f t="array" ref="S76">INDEX(W$2:W$8,MATCH(O76,V$2:V$8)+1)</f>
        <v>3</v>
      </c>
    </row>
    <row r="77" spans="1:16">
      <c r="A77" s="4"/>
      <c r="B77" s="4" t="s">
        <v>8</v>
      </c>
      <c r="C77" s="5">
        <f t="shared" ref="C77:N77" si="24">IF((C75-C76)&gt;0,C75-C76,0)</f>
        <v>7.2</v>
      </c>
      <c r="D77" s="5">
        <f t="shared" si="24"/>
        <v>0</v>
      </c>
      <c r="E77" s="5">
        <f t="shared" si="24"/>
        <v>0</v>
      </c>
      <c r="F77" s="5">
        <f t="shared" si="24"/>
        <v>0</v>
      </c>
      <c r="G77" s="5">
        <f t="shared" si="24"/>
        <v>0</v>
      </c>
      <c r="H77" s="5">
        <f t="shared" si="24"/>
        <v>0</v>
      </c>
      <c r="I77" s="5">
        <f t="shared" si="24"/>
        <v>0</v>
      </c>
      <c r="J77" s="5">
        <f t="shared" si="24"/>
        <v>0</v>
      </c>
      <c r="K77" s="5">
        <f t="shared" si="24"/>
        <v>38.5</v>
      </c>
      <c r="L77" s="5">
        <f t="shared" si="24"/>
        <v>1.60000000000001</v>
      </c>
      <c r="M77" s="5">
        <f t="shared" si="24"/>
        <v>0</v>
      </c>
      <c r="N77" s="5">
        <f t="shared" si="24"/>
        <v>0</v>
      </c>
      <c r="O77" s="9">
        <f>SUM(C77:N77)</f>
        <v>47.3</v>
      </c>
      <c r="P77" s="7"/>
    </row>
    <row r="78" spans="1:19">
      <c r="A78" s="4" t="s">
        <v>33</v>
      </c>
      <c r="B78" s="4" t="s">
        <v>6</v>
      </c>
      <c r="C78" s="5">
        <v>32.2</v>
      </c>
      <c r="D78" s="5">
        <v>31.8</v>
      </c>
      <c r="E78" s="5">
        <v>51.4</v>
      </c>
      <c r="F78" s="5">
        <v>65</v>
      </c>
      <c r="G78" s="5">
        <v>103.4</v>
      </c>
      <c r="H78" s="5">
        <v>111.4</v>
      </c>
      <c r="I78" s="5">
        <v>155.6</v>
      </c>
      <c r="J78" s="5">
        <v>141.2</v>
      </c>
      <c r="K78" s="5">
        <v>109.9</v>
      </c>
      <c r="L78" s="5">
        <v>79.5</v>
      </c>
      <c r="M78" s="5">
        <v>44.4</v>
      </c>
      <c r="N78" s="5">
        <v>32.2</v>
      </c>
      <c r="O78" s="8">
        <f>(C78+D78+K78+L78+M78+N78)/SUM(C78:N78)</f>
        <v>0.34446764091858</v>
      </c>
      <c r="P78" s="7" cm="1">
        <f t="array" ref="P78">ROUND(TREND(S78:S79,R78:R79,O79),2)</f>
        <v>3.38</v>
      </c>
      <c r="R78" s="1" cm="1">
        <f t="array" ref="R78">INDEX(V$2:V$8,MATCH(O79,V$2:V$8))</f>
        <v>0.8</v>
      </c>
      <c r="S78" s="1" cm="1">
        <f t="array" ref="S78">INDEX(W$2:W$8,MATCH(O79,V$2:V$8))</f>
        <v>3.5</v>
      </c>
    </row>
    <row r="79" spans="1:19">
      <c r="A79" s="4"/>
      <c r="B79" s="4" t="s">
        <v>7</v>
      </c>
      <c r="C79" s="5">
        <v>52.4</v>
      </c>
      <c r="D79" s="5">
        <v>83.2</v>
      </c>
      <c r="E79" s="5">
        <v>149.7</v>
      </c>
      <c r="F79" s="5">
        <v>226.2</v>
      </c>
      <c r="G79" s="5">
        <v>239.9</v>
      </c>
      <c r="H79" s="5">
        <v>264.1</v>
      </c>
      <c r="I79" s="5">
        <v>127.6</v>
      </c>
      <c r="J79" s="5">
        <v>138.4</v>
      </c>
      <c r="K79" s="5">
        <v>90.8</v>
      </c>
      <c r="L79" s="5">
        <v>57.3</v>
      </c>
      <c r="M79" s="5">
        <v>49.3</v>
      </c>
      <c r="N79" s="5">
        <v>43.5</v>
      </c>
      <c r="O79" s="8">
        <f>ROUND(1.152-0.726*O78-0.00107*O80,4)</f>
        <v>0.8248</v>
      </c>
      <c r="P79" s="7"/>
      <c r="R79" s="1" cm="1">
        <f t="array" ref="R79">INDEX(V$2:V$8,MATCH(O79,V$2:V$8)+1)</f>
        <v>0.9</v>
      </c>
      <c r="S79" s="1" cm="1">
        <f t="array" ref="S79">INDEX(W$2:W$8,MATCH(O79,V$2:V$8)+1)</f>
        <v>3</v>
      </c>
    </row>
    <row r="80" spans="1:16">
      <c r="A80" s="4"/>
      <c r="B80" s="4" t="s">
        <v>8</v>
      </c>
      <c r="C80" s="5">
        <f t="shared" ref="C80:N80" si="25">IF((C78-C79)&gt;0,C78-C79,0)</f>
        <v>0</v>
      </c>
      <c r="D80" s="5">
        <f t="shared" si="25"/>
        <v>0</v>
      </c>
      <c r="E80" s="5">
        <f t="shared" si="25"/>
        <v>0</v>
      </c>
      <c r="F80" s="5">
        <f t="shared" si="25"/>
        <v>0</v>
      </c>
      <c r="G80" s="5">
        <f t="shared" si="25"/>
        <v>0</v>
      </c>
      <c r="H80" s="5">
        <f t="shared" si="25"/>
        <v>0</v>
      </c>
      <c r="I80" s="5">
        <f t="shared" si="25"/>
        <v>28</v>
      </c>
      <c r="J80" s="5">
        <f t="shared" si="25"/>
        <v>2.79999999999998</v>
      </c>
      <c r="K80" s="5">
        <f t="shared" si="25"/>
        <v>19.1</v>
      </c>
      <c r="L80" s="5">
        <f t="shared" si="25"/>
        <v>22.2</v>
      </c>
      <c r="M80" s="5">
        <f t="shared" si="25"/>
        <v>0</v>
      </c>
      <c r="N80" s="5">
        <f t="shared" si="25"/>
        <v>0</v>
      </c>
      <c r="O80" s="9">
        <f>SUM(C80:N80)</f>
        <v>72.1</v>
      </c>
      <c r="P80" s="7"/>
    </row>
    <row r="81" spans="1:19">
      <c r="A81" s="4" t="s">
        <v>34</v>
      </c>
      <c r="B81" s="4" t="s">
        <v>6</v>
      </c>
      <c r="C81" s="5">
        <v>40.1</v>
      </c>
      <c r="D81" s="5">
        <v>35.9</v>
      </c>
      <c r="E81" s="5">
        <v>53.1</v>
      </c>
      <c r="F81" s="5">
        <v>66.2</v>
      </c>
      <c r="G81" s="5">
        <v>105.4</v>
      </c>
      <c r="H81" s="5">
        <v>109.2</v>
      </c>
      <c r="I81" s="5">
        <v>137.5</v>
      </c>
      <c r="J81" s="5">
        <v>131.1</v>
      </c>
      <c r="K81" s="5">
        <v>99.5</v>
      </c>
      <c r="L81" s="5">
        <v>88.4</v>
      </c>
      <c r="M81" s="5">
        <v>54.5</v>
      </c>
      <c r="N81" s="5">
        <v>41.8</v>
      </c>
      <c r="O81" s="8">
        <f>(C81+D81+K81+L81+M81+N81)/SUM(C81:N81)</f>
        <v>0.37415601952841</v>
      </c>
      <c r="P81" s="7" cm="1">
        <f t="array" ref="P81">ROUND(TREND(S81:S82,R81:R82,O82),2)</f>
        <v>3.48</v>
      </c>
      <c r="R81" s="1" cm="1">
        <f t="array" ref="R81">INDEX(V$2:V$8,MATCH(O82,V$2:V$8))</f>
        <v>0.8</v>
      </c>
      <c r="S81" s="1" cm="1">
        <f t="array" ref="S81">INDEX(W$2:W$8,MATCH(O82,V$2:V$8))</f>
        <v>3.5</v>
      </c>
    </row>
    <row r="82" spans="1:19">
      <c r="A82" s="4"/>
      <c r="B82" s="4" t="s">
        <v>7</v>
      </c>
      <c r="C82" s="5">
        <v>39.3</v>
      </c>
      <c r="D82" s="5">
        <v>62.5</v>
      </c>
      <c r="E82" s="5">
        <v>91.3</v>
      </c>
      <c r="F82" s="5">
        <v>158.2</v>
      </c>
      <c r="G82" s="5">
        <v>266.7</v>
      </c>
      <c r="H82" s="5">
        <v>299.2</v>
      </c>
      <c r="I82" s="5">
        <v>220</v>
      </c>
      <c r="J82" s="5">
        <v>225.5</v>
      </c>
      <c r="K82" s="5">
        <v>204</v>
      </c>
      <c r="L82" s="5">
        <v>52.2</v>
      </c>
      <c r="M82" s="5">
        <v>42</v>
      </c>
      <c r="N82" s="5">
        <v>19.7</v>
      </c>
      <c r="O82" s="8">
        <f>ROUND(1.152-0.726*O81-0.00107*O83,4)</f>
        <v>0.8038</v>
      </c>
      <c r="P82" s="7"/>
      <c r="R82" s="1" cm="1">
        <f t="array" ref="R82">INDEX(V$2:V$8,MATCH(O82,V$2:V$8)+1)</f>
        <v>0.9</v>
      </c>
      <c r="S82" s="1" cm="1">
        <f t="array" ref="S82">INDEX(W$2:W$8,MATCH(O82,V$2:V$8)+1)</f>
        <v>3</v>
      </c>
    </row>
    <row r="83" spans="1:16">
      <c r="A83" s="4"/>
      <c r="B83" s="4" t="s">
        <v>8</v>
      </c>
      <c r="C83" s="5">
        <f t="shared" ref="C83:N83" si="26">IF((C81-C82)&gt;0,C81-C82,0)</f>
        <v>0.800000000000004</v>
      </c>
      <c r="D83" s="5">
        <f t="shared" si="26"/>
        <v>0</v>
      </c>
      <c r="E83" s="5">
        <f t="shared" si="26"/>
        <v>0</v>
      </c>
      <c r="F83" s="5">
        <f t="shared" si="26"/>
        <v>0</v>
      </c>
      <c r="G83" s="5">
        <f t="shared" si="26"/>
        <v>0</v>
      </c>
      <c r="H83" s="5">
        <f t="shared" si="26"/>
        <v>0</v>
      </c>
      <c r="I83" s="5">
        <f t="shared" si="26"/>
        <v>0</v>
      </c>
      <c r="J83" s="5">
        <f t="shared" si="26"/>
        <v>0</v>
      </c>
      <c r="K83" s="5">
        <f t="shared" si="26"/>
        <v>0</v>
      </c>
      <c r="L83" s="5">
        <f t="shared" si="26"/>
        <v>36.2</v>
      </c>
      <c r="M83" s="5">
        <f t="shared" si="26"/>
        <v>12.5</v>
      </c>
      <c r="N83" s="5">
        <f t="shared" si="26"/>
        <v>22.1</v>
      </c>
      <c r="O83" s="9">
        <f>SUM(C83:N83)</f>
        <v>71.6</v>
      </c>
      <c r="P83" s="7"/>
    </row>
    <row r="84" spans="1:19">
      <c r="A84" s="4" t="s">
        <v>35</v>
      </c>
      <c r="B84" s="4" t="s">
        <v>6</v>
      </c>
      <c r="C84" s="5">
        <v>43</v>
      </c>
      <c r="D84" s="5">
        <v>37.1</v>
      </c>
      <c r="E84" s="5">
        <v>55.9</v>
      </c>
      <c r="F84" s="5">
        <v>26.9</v>
      </c>
      <c r="G84" s="5">
        <v>123.8</v>
      </c>
      <c r="H84" s="5">
        <v>122.3</v>
      </c>
      <c r="I84" s="5">
        <v>144.9</v>
      </c>
      <c r="J84" s="5">
        <v>132</v>
      </c>
      <c r="K84" s="5">
        <v>105.1</v>
      </c>
      <c r="L84" s="5">
        <v>87.8</v>
      </c>
      <c r="M84" s="5">
        <v>58.9</v>
      </c>
      <c r="N84" s="5">
        <v>46.2</v>
      </c>
      <c r="O84" s="8">
        <f>(C84+D84+K84+L84+M84+N84)/SUM(C84:N84)</f>
        <v>0.384287021038723</v>
      </c>
      <c r="P84" s="7" cm="1">
        <f t="array" ref="P84">ROUND(TREND(S84:S85,R84:R85,O85),2)</f>
        <v>3.45</v>
      </c>
      <c r="R84" s="1" cm="1">
        <f t="array" ref="R84">INDEX(V$2:V$8,MATCH(O85,V$2:V$8))</f>
        <v>0.8</v>
      </c>
      <c r="S84" s="1" cm="1">
        <f t="array" ref="S84">INDEX(W$2:W$8,MATCH(O85,V$2:V$8))</f>
        <v>3.5</v>
      </c>
    </row>
    <row r="85" spans="1:19">
      <c r="A85" s="4"/>
      <c r="B85" s="4" t="s">
        <v>7</v>
      </c>
      <c r="C85" s="5">
        <v>25.2</v>
      </c>
      <c r="D85" s="5">
        <v>38.7</v>
      </c>
      <c r="E85" s="5">
        <v>63.5</v>
      </c>
      <c r="F85" s="5">
        <v>40.6</v>
      </c>
      <c r="G85" s="5">
        <v>163.3</v>
      </c>
      <c r="H85" s="5">
        <v>209.2</v>
      </c>
      <c r="I85" s="5">
        <v>163.5</v>
      </c>
      <c r="J85" s="5">
        <v>251.2</v>
      </c>
      <c r="K85" s="5">
        <v>254.4</v>
      </c>
      <c r="L85" s="5">
        <v>90.9</v>
      </c>
      <c r="M85" s="5">
        <v>44.7</v>
      </c>
      <c r="N85" s="5">
        <v>19.5</v>
      </c>
      <c r="O85" s="8">
        <f>ROUND(1.152-0.726*O84-0.00107*O86,4)</f>
        <v>0.8102</v>
      </c>
      <c r="P85" s="7"/>
      <c r="R85" s="1" cm="1">
        <f t="array" ref="R85">INDEX(V$2:V$8,MATCH(O85,V$2:V$8)+1)</f>
        <v>0.9</v>
      </c>
      <c r="S85" s="1" cm="1">
        <f t="array" ref="S85">INDEX(W$2:W$8,MATCH(O85,V$2:V$8)+1)</f>
        <v>3</v>
      </c>
    </row>
    <row r="86" spans="1:16">
      <c r="A86" s="4"/>
      <c r="B86" s="4" t="s">
        <v>8</v>
      </c>
      <c r="C86" s="5">
        <f t="shared" ref="C86:N86" si="27">IF((C84-C85)&gt;0,C84-C85,0)</f>
        <v>17.8</v>
      </c>
      <c r="D86" s="5">
        <f t="shared" si="27"/>
        <v>0</v>
      </c>
      <c r="E86" s="5">
        <f t="shared" si="27"/>
        <v>0</v>
      </c>
      <c r="F86" s="5">
        <f t="shared" si="27"/>
        <v>0</v>
      </c>
      <c r="G86" s="5">
        <f t="shared" si="27"/>
        <v>0</v>
      </c>
      <c r="H86" s="5">
        <f t="shared" si="27"/>
        <v>0</v>
      </c>
      <c r="I86" s="5">
        <f t="shared" si="27"/>
        <v>0</v>
      </c>
      <c r="J86" s="5">
        <f t="shared" si="27"/>
        <v>0</v>
      </c>
      <c r="K86" s="5">
        <f t="shared" si="27"/>
        <v>0</v>
      </c>
      <c r="L86" s="5">
        <f t="shared" si="27"/>
        <v>0</v>
      </c>
      <c r="M86" s="5">
        <f t="shared" si="27"/>
        <v>14.2</v>
      </c>
      <c r="N86" s="5">
        <f t="shared" si="27"/>
        <v>26.7</v>
      </c>
      <c r="O86" s="9">
        <f>SUM(C86:N86)</f>
        <v>58.7</v>
      </c>
      <c r="P86" s="7"/>
    </row>
    <row r="87" spans="1:19">
      <c r="A87" s="4" t="s">
        <v>36</v>
      </c>
      <c r="B87" s="4" t="s">
        <v>6</v>
      </c>
      <c r="C87" s="5">
        <v>16.8</v>
      </c>
      <c r="D87" s="5">
        <v>21.4</v>
      </c>
      <c r="E87" s="5">
        <v>43.8</v>
      </c>
      <c r="F87" s="5">
        <v>61.2</v>
      </c>
      <c r="G87" s="5">
        <v>92.8</v>
      </c>
      <c r="H87" s="5">
        <v>97</v>
      </c>
      <c r="I87" s="5">
        <v>109.4</v>
      </c>
      <c r="J87" s="5">
        <v>104</v>
      </c>
      <c r="K87" s="5">
        <v>56.7</v>
      </c>
      <c r="L87" s="5">
        <v>38.2</v>
      </c>
      <c r="M87" s="5">
        <v>21.9</v>
      </c>
      <c r="N87" s="5">
        <v>15.2</v>
      </c>
      <c r="O87" s="8">
        <f>(C87+D87+K87+L87+M87+N87)/SUM(C87:N87)</f>
        <v>0.250884433962264</v>
      </c>
      <c r="P87" s="7" cm="1">
        <f t="array" ref="P87">ROUND(TREND(S87:S88,R87:R88,O88),2)</f>
        <v>3.04</v>
      </c>
      <c r="R87" s="1" cm="1">
        <f t="array" ref="R87">INDEX(V$2:V$8,MATCH(O88,V$2:V$8))</f>
        <v>0.8</v>
      </c>
      <c r="S87" s="1" cm="1">
        <f t="array" ref="S87">INDEX(W$2:W$8,MATCH(O88,V$2:V$8))</f>
        <v>3.5</v>
      </c>
    </row>
    <row r="88" spans="1:19">
      <c r="A88" s="4"/>
      <c r="B88" s="4" t="s">
        <v>7</v>
      </c>
      <c r="C88" s="5">
        <v>6.1</v>
      </c>
      <c r="D88" s="5">
        <v>10.9</v>
      </c>
      <c r="E88" s="5">
        <v>20.2</v>
      </c>
      <c r="F88" s="5">
        <v>54.5</v>
      </c>
      <c r="G88" s="5">
        <v>83.5</v>
      </c>
      <c r="H88" s="5">
        <v>162</v>
      </c>
      <c r="I88" s="5">
        <v>244</v>
      </c>
      <c r="J88" s="5">
        <v>224.6</v>
      </c>
      <c r="K88" s="5">
        <v>143.5</v>
      </c>
      <c r="L88" s="5">
        <v>43.9</v>
      </c>
      <c r="M88" s="5">
        <v>19.7</v>
      </c>
      <c r="N88" s="5">
        <v>6.1</v>
      </c>
      <c r="O88" s="8">
        <f>ROUND(1.152-0.726*O87-0.00107*O89,4)</f>
        <v>0.8927</v>
      </c>
      <c r="P88" s="7"/>
      <c r="R88" s="1" cm="1">
        <f t="array" ref="R88">INDEX(V$2:V$8,MATCH(O88,V$2:V$8)+1)</f>
        <v>0.9</v>
      </c>
      <c r="S88" s="1" cm="1">
        <f t="array" ref="S88">INDEX(W$2:W$8,MATCH(O88,V$2:V$8)+1)</f>
        <v>3</v>
      </c>
    </row>
    <row r="89" spans="1:16">
      <c r="A89" s="4"/>
      <c r="B89" s="4" t="s">
        <v>8</v>
      </c>
      <c r="C89" s="5">
        <f t="shared" ref="C89:N89" si="28">IF((C87-C88)&gt;0,C87-C88,0)</f>
        <v>10.7</v>
      </c>
      <c r="D89" s="5">
        <f t="shared" si="28"/>
        <v>10.5</v>
      </c>
      <c r="E89" s="5">
        <f t="shared" si="28"/>
        <v>23.6</v>
      </c>
      <c r="F89" s="5">
        <f t="shared" si="28"/>
        <v>6.7</v>
      </c>
      <c r="G89" s="5">
        <f t="shared" si="28"/>
        <v>9.3</v>
      </c>
      <c r="H89" s="5">
        <f t="shared" si="28"/>
        <v>0</v>
      </c>
      <c r="I89" s="5">
        <f t="shared" si="28"/>
        <v>0</v>
      </c>
      <c r="J89" s="5">
        <f t="shared" si="28"/>
        <v>0</v>
      </c>
      <c r="K89" s="5">
        <f t="shared" si="28"/>
        <v>0</v>
      </c>
      <c r="L89" s="5">
        <f t="shared" si="28"/>
        <v>0</v>
      </c>
      <c r="M89" s="5">
        <f t="shared" si="28"/>
        <v>2.2</v>
      </c>
      <c r="N89" s="5">
        <f t="shared" si="28"/>
        <v>9.1</v>
      </c>
      <c r="O89" s="9">
        <f>SUM(C89:N89)</f>
        <v>72.1</v>
      </c>
      <c r="P89" s="7"/>
    </row>
    <row r="90" spans="1:19">
      <c r="A90" s="4" t="s">
        <v>37</v>
      </c>
      <c r="B90" s="4" t="s">
        <v>6</v>
      </c>
      <c r="C90" s="5">
        <v>17.5</v>
      </c>
      <c r="D90" s="5">
        <v>21.4</v>
      </c>
      <c r="E90" s="5">
        <v>43.6</v>
      </c>
      <c r="F90" s="5">
        <v>59.7</v>
      </c>
      <c r="G90" s="5">
        <v>91</v>
      </c>
      <c r="H90" s="5">
        <v>94.3</v>
      </c>
      <c r="I90" s="5">
        <v>107.7</v>
      </c>
      <c r="J90" s="5">
        <v>102.1</v>
      </c>
      <c r="K90" s="5">
        <v>56</v>
      </c>
      <c r="L90" s="5">
        <v>37.5</v>
      </c>
      <c r="M90" s="5">
        <v>21.7</v>
      </c>
      <c r="N90" s="5">
        <v>15.7</v>
      </c>
      <c r="O90" s="8">
        <f>(C90+D90+K90+L90+M90+N90)/SUM(C90:N90)</f>
        <v>0.254115534271176</v>
      </c>
      <c r="P90" s="7" cm="1">
        <f t="array" ref="P90">ROUND(TREND(S90:S91,R90:R91,O91),2)</f>
        <v>3.04</v>
      </c>
      <c r="R90" s="1" cm="1">
        <f t="array" ref="R90">INDEX(V$2:V$8,MATCH(O91,V$2:V$8))</f>
        <v>0.8</v>
      </c>
      <c r="S90" s="1" cm="1">
        <f t="array" ref="S90">INDEX(W$2:W$8,MATCH(O91,V$2:V$8))</f>
        <v>3.5</v>
      </c>
    </row>
    <row r="91" spans="1:19">
      <c r="A91" s="4"/>
      <c r="B91" s="4" t="s">
        <v>7</v>
      </c>
      <c r="C91" s="5">
        <v>5.1</v>
      </c>
      <c r="D91" s="5">
        <v>11.3</v>
      </c>
      <c r="E91" s="5">
        <v>21.8</v>
      </c>
      <c r="F91" s="5">
        <v>51.3</v>
      </c>
      <c r="G91" s="5">
        <v>88.3</v>
      </c>
      <c r="H91" s="5">
        <v>119.8</v>
      </c>
      <c r="I91" s="5">
        <v>229.4</v>
      </c>
      <c r="J91" s="5">
        <v>365.5</v>
      </c>
      <c r="K91" s="5">
        <v>113.7</v>
      </c>
      <c r="L91" s="5">
        <v>48</v>
      </c>
      <c r="M91" s="5">
        <v>16.5</v>
      </c>
      <c r="N91" s="5">
        <v>6.4</v>
      </c>
      <c r="O91" s="8">
        <f>ROUND(1.152-0.726*O90-0.00107*O92,4)</f>
        <v>0.8927</v>
      </c>
      <c r="P91" s="7"/>
      <c r="R91" s="1" cm="1">
        <f t="array" ref="R91">INDEX(V$2:V$8,MATCH(O91,V$2:V$8)+1)</f>
        <v>0.9</v>
      </c>
      <c r="S91" s="1" cm="1">
        <f t="array" ref="S91">INDEX(W$2:W$8,MATCH(O91,V$2:V$8)+1)</f>
        <v>3</v>
      </c>
    </row>
    <row r="92" spans="1:16">
      <c r="A92" s="4"/>
      <c r="B92" s="4" t="s">
        <v>8</v>
      </c>
      <c r="C92" s="5">
        <f t="shared" ref="C92:N92" si="29">IF((C90-C91)&gt;0,C90-C91,0)</f>
        <v>12.4</v>
      </c>
      <c r="D92" s="5">
        <f t="shared" si="29"/>
        <v>10.1</v>
      </c>
      <c r="E92" s="5">
        <f t="shared" si="29"/>
        <v>21.8</v>
      </c>
      <c r="F92" s="5">
        <f t="shared" si="29"/>
        <v>8.40000000000001</v>
      </c>
      <c r="G92" s="5">
        <f t="shared" si="29"/>
        <v>2.7</v>
      </c>
      <c r="H92" s="5">
        <f t="shared" si="29"/>
        <v>0</v>
      </c>
      <c r="I92" s="5">
        <f t="shared" si="29"/>
        <v>0</v>
      </c>
      <c r="J92" s="5">
        <f t="shared" si="29"/>
        <v>0</v>
      </c>
      <c r="K92" s="5">
        <f t="shared" si="29"/>
        <v>0</v>
      </c>
      <c r="L92" s="5">
        <f t="shared" si="29"/>
        <v>0</v>
      </c>
      <c r="M92" s="5">
        <f t="shared" si="29"/>
        <v>5.2</v>
      </c>
      <c r="N92" s="5">
        <f t="shared" si="29"/>
        <v>9.3</v>
      </c>
      <c r="O92" s="9">
        <f>SUM(C92:N92)</f>
        <v>69.9</v>
      </c>
      <c r="P92" s="7"/>
    </row>
    <row r="93" spans="1:19">
      <c r="A93" s="4" t="s">
        <v>38</v>
      </c>
      <c r="B93" s="4" t="s">
        <v>6</v>
      </c>
      <c r="C93" s="5">
        <v>23.4</v>
      </c>
      <c r="D93" s="5">
        <v>31.4</v>
      </c>
      <c r="E93" s="5">
        <v>66.1</v>
      </c>
      <c r="F93" s="5">
        <v>83</v>
      </c>
      <c r="G93" s="5">
        <v>97.7</v>
      </c>
      <c r="H93" s="5">
        <v>81.9</v>
      </c>
      <c r="I93" s="5">
        <v>101.9</v>
      </c>
      <c r="J93" s="5">
        <v>92.8</v>
      </c>
      <c r="K93" s="5">
        <v>61.7</v>
      </c>
      <c r="L93" s="5">
        <v>40.1</v>
      </c>
      <c r="M93" s="5">
        <v>27.2</v>
      </c>
      <c r="N93" s="5">
        <v>21.2</v>
      </c>
      <c r="O93" s="8">
        <f>(C93+D93+K93+L93+M93+N93)/SUM(C93:N93)</f>
        <v>0.281438769906645</v>
      </c>
      <c r="P93" s="10" cm="1">
        <f t="array" ref="P93">ROUND(TREND(S93:S94,R93:R94,O94),2)</f>
        <v>3.84</v>
      </c>
      <c r="R93" s="1" cm="1">
        <f t="array" ref="R93">INDEX(V$2:V$8,MATCH(O94,V$2:V$8))</f>
        <v>0.7</v>
      </c>
      <c r="S93" s="1" cm="1">
        <f t="array" ref="S93">INDEX(W$2:W$8,MATCH(O94,V$2:V$8))</f>
        <v>4</v>
      </c>
    </row>
    <row r="94" spans="1:19">
      <c r="A94" s="4"/>
      <c r="B94" s="4" t="s">
        <v>7</v>
      </c>
      <c r="C94" s="5">
        <v>5.6</v>
      </c>
      <c r="D94" s="5">
        <v>6.6</v>
      </c>
      <c r="E94" s="5">
        <v>12.6</v>
      </c>
      <c r="F94" s="5">
        <v>26.6</v>
      </c>
      <c r="G94" s="5">
        <v>74.3</v>
      </c>
      <c r="H94" s="5">
        <v>144.1</v>
      </c>
      <c r="I94" s="5">
        <v>162</v>
      </c>
      <c r="J94" s="5">
        <v>124.4</v>
      </c>
      <c r="K94" s="5">
        <v>101.2</v>
      </c>
      <c r="L94" s="5">
        <v>62.2</v>
      </c>
      <c r="M94" s="5">
        <v>15.2</v>
      </c>
      <c r="N94" s="5">
        <v>7</v>
      </c>
      <c r="O94" s="8">
        <f>ROUND(1.152-0.726*O93-0.00107*O95,4)</f>
        <v>0.7314</v>
      </c>
      <c r="P94" s="10"/>
      <c r="R94" s="1" cm="1">
        <f t="array" ref="R94">INDEX(V$2:V$8,MATCH(O94,V$2:V$8)+1)</f>
        <v>0.8</v>
      </c>
      <c r="S94" s="1" cm="1">
        <f t="array" ref="S94">INDEX(W$2:W$8,MATCH(O94,V$2:V$8)+1)</f>
        <v>3.5</v>
      </c>
    </row>
    <row r="95" spans="1:16">
      <c r="A95" s="4"/>
      <c r="B95" s="4" t="s">
        <v>8</v>
      </c>
      <c r="C95" s="5">
        <f t="shared" ref="C95:N95" si="30">IF((C93-C94)&gt;0,C93-C94,0)</f>
        <v>17.8</v>
      </c>
      <c r="D95" s="5">
        <f t="shared" si="30"/>
        <v>24.8</v>
      </c>
      <c r="E95" s="5">
        <f t="shared" si="30"/>
        <v>53.5</v>
      </c>
      <c r="F95" s="5">
        <f t="shared" si="30"/>
        <v>56.4</v>
      </c>
      <c r="G95" s="5">
        <f t="shared" si="30"/>
        <v>23.4</v>
      </c>
      <c r="H95" s="5">
        <f t="shared" si="30"/>
        <v>0</v>
      </c>
      <c r="I95" s="5">
        <f t="shared" si="30"/>
        <v>0</v>
      </c>
      <c r="J95" s="5">
        <f t="shared" si="30"/>
        <v>0</v>
      </c>
      <c r="K95" s="5">
        <f t="shared" si="30"/>
        <v>0</v>
      </c>
      <c r="L95" s="5">
        <f t="shared" si="30"/>
        <v>0</v>
      </c>
      <c r="M95" s="5">
        <f t="shared" si="30"/>
        <v>12</v>
      </c>
      <c r="N95" s="5">
        <f t="shared" si="30"/>
        <v>14.2</v>
      </c>
      <c r="O95" s="9">
        <f>SUM(C95:N95)</f>
        <v>202.1</v>
      </c>
      <c r="P95" s="10"/>
    </row>
    <row r="96" spans="1:19">
      <c r="A96" s="4" t="s">
        <v>39</v>
      </c>
      <c r="B96" s="4" t="s">
        <v>6</v>
      </c>
      <c r="C96" s="5">
        <v>35.6</v>
      </c>
      <c r="D96" s="5">
        <v>47.2</v>
      </c>
      <c r="E96" s="5">
        <v>85.1</v>
      </c>
      <c r="F96" s="5">
        <v>103.4</v>
      </c>
      <c r="G96" s="5">
        <v>122.6</v>
      </c>
      <c r="H96" s="5">
        <v>91.9</v>
      </c>
      <c r="I96" s="5">
        <v>90.2</v>
      </c>
      <c r="J96" s="5">
        <v>90.3</v>
      </c>
      <c r="K96" s="5">
        <v>67.6</v>
      </c>
      <c r="L96" s="5">
        <v>53</v>
      </c>
      <c r="M96" s="5">
        <v>36.9</v>
      </c>
      <c r="N96" s="5">
        <v>30.1</v>
      </c>
      <c r="O96" s="8">
        <f>(C96+D96+K96+L96+M96+N96)/SUM(C96:N96)</f>
        <v>0.316664714837803</v>
      </c>
      <c r="P96" s="10" cm="1">
        <f t="array" ref="P96">ROUND(TREND(S96:S97,R96:R97,O97),2)</f>
        <v>4.77</v>
      </c>
      <c r="R96" s="1" cm="1">
        <f t="array" ref="R96">INDEX(V$2:V$8,MATCH(O97,V$2:V$8))</f>
        <v>0.6</v>
      </c>
      <c r="S96" s="1" cm="1">
        <f t="array" ref="S96">INDEX(W$2:W$8,MATCH(O97,V$2:V$8))</f>
        <v>5</v>
      </c>
    </row>
    <row r="97" spans="1:19">
      <c r="A97" s="4"/>
      <c r="B97" s="4" t="s">
        <v>7</v>
      </c>
      <c r="C97" s="5">
        <v>10</v>
      </c>
      <c r="D97" s="5">
        <v>9.9</v>
      </c>
      <c r="E97" s="5">
        <v>13.6</v>
      </c>
      <c r="F97" s="5">
        <v>19.7</v>
      </c>
      <c r="G97" s="5">
        <v>78.5</v>
      </c>
      <c r="H97" s="5">
        <v>182</v>
      </c>
      <c r="I97" s="5">
        <v>216.5</v>
      </c>
      <c r="J97" s="5">
        <v>195.1</v>
      </c>
      <c r="K97" s="5">
        <v>123</v>
      </c>
      <c r="L97" s="5">
        <v>94.9</v>
      </c>
      <c r="M97" s="5">
        <v>33.6</v>
      </c>
      <c r="N97" s="5">
        <v>16</v>
      </c>
      <c r="O97" s="8">
        <f>ROUND(1.152-0.726*O96-0.00107*O98,4)</f>
        <v>0.6229</v>
      </c>
      <c r="P97" s="10"/>
      <c r="R97" s="1" cm="1">
        <f t="array" ref="R97">INDEX(V$2:V$8,MATCH(O97,V$2:V$8)+1)</f>
        <v>0.7</v>
      </c>
      <c r="S97" s="1" cm="1">
        <f t="array" ref="S97">INDEX(W$2:W$8,MATCH(O97,V$2:V$8)+1)</f>
        <v>4</v>
      </c>
    </row>
    <row r="98" spans="1:16">
      <c r="A98" s="4"/>
      <c r="B98" s="4" t="s">
        <v>8</v>
      </c>
      <c r="C98" s="5">
        <f t="shared" ref="C98:N98" si="31">IF((C96-C97)&gt;0,C96-C97,0)</f>
        <v>25.6</v>
      </c>
      <c r="D98" s="5">
        <f t="shared" si="31"/>
        <v>37.3</v>
      </c>
      <c r="E98" s="5">
        <f t="shared" si="31"/>
        <v>71.5</v>
      </c>
      <c r="F98" s="5">
        <f t="shared" si="31"/>
        <v>83.7</v>
      </c>
      <c r="G98" s="5">
        <f t="shared" si="31"/>
        <v>44.1</v>
      </c>
      <c r="H98" s="5">
        <f t="shared" si="31"/>
        <v>0</v>
      </c>
      <c r="I98" s="5">
        <f t="shared" si="31"/>
        <v>0</v>
      </c>
      <c r="J98" s="5">
        <f t="shared" si="31"/>
        <v>0</v>
      </c>
      <c r="K98" s="5">
        <f t="shared" si="31"/>
        <v>0</v>
      </c>
      <c r="L98" s="5">
        <f t="shared" si="31"/>
        <v>0</v>
      </c>
      <c r="M98" s="5">
        <f t="shared" si="31"/>
        <v>3.3</v>
      </c>
      <c r="N98" s="5">
        <f t="shared" si="31"/>
        <v>14.1</v>
      </c>
      <c r="O98" s="9">
        <f>SUM(C98:N98)</f>
        <v>279.6</v>
      </c>
      <c r="P98" s="10"/>
    </row>
    <row r="99" spans="1:19">
      <c r="A99" s="4" t="s">
        <v>40</v>
      </c>
      <c r="B99" s="4" t="s">
        <v>6</v>
      </c>
      <c r="C99" s="5">
        <v>44.4</v>
      </c>
      <c r="D99" s="5">
        <v>56.9</v>
      </c>
      <c r="E99" s="5">
        <v>99.6</v>
      </c>
      <c r="F99" s="5">
        <v>116.7</v>
      </c>
      <c r="G99" s="5">
        <v>140.2</v>
      </c>
      <c r="H99" s="5">
        <v>105.4</v>
      </c>
      <c r="I99" s="5">
        <v>107.5</v>
      </c>
      <c r="J99" s="5">
        <v>100.8</v>
      </c>
      <c r="K99" s="5">
        <v>81.6</v>
      </c>
      <c r="L99" s="5">
        <v>66.5</v>
      </c>
      <c r="M99" s="5">
        <v>44.2</v>
      </c>
      <c r="N99" s="5">
        <v>39.2</v>
      </c>
      <c r="O99" s="8">
        <f>(C99+D99+K99+L99+M99+N99)/SUM(C99:N99)</f>
        <v>0.331804586241276</v>
      </c>
      <c r="P99" s="7" cm="1">
        <f t="array" ref="P99">ROUND(TREND(S99:S100,R99:R100,O100),2)</f>
        <v>5</v>
      </c>
      <c r="R99" s="1" cm="1">
        <f t="array" ref="R99">INDEX(V$2:V$8,MATCH(O100,V$2:V$8))</f>
        <v>0.5</v>
      </c>
      <c r="S99" s="1" cm="1">
        <f t="array" ref="S99">INDEX(W$2:W$8,MATCH(O100,V$2:V$8))</f>
        <v>5</v>
      </c>
    </row>
    <row r="100" spans="1:19">
      <c r="A100" s="4"/>
      <c r="B100" s="4" t="s">
        <v>7</v>
      </c>
      <c r="C100" s="5">
        <v>14.2</v>
      </c>
      <c r="D100" s="5">
        <v>14.2</v>
      </c>
      <c r="E100" s="5">
        <v>25.9</v>
      </c>
      <c r="F100" s="5">
        <v>40.9</v>
      </c>
      <c r="G100" s="5">
        <v>75.7</v>
      </c>
      <c r="H100" s="5">
        <v>131.8</v>
      </c>
      <c r="I100" s="5">
        <v>166.6</v>
      </c>
      <c r="J100" s="5">
        <v>135.1</v>
      </c>
      <c r="K100" s="5">
        <v>83.2</v>
      </c>
      <c r="L100" s="5">
        <v>55.2</v>
      </c>
      <c r="M100" s="5">
        <v>33.2</v>
      </c>
      <c r="N100" s="5">
        <v>20</v>
      </c>
      <c r="O100" s="8">
        <f>ROUND(1.152-0.726*O99-0.00107*O101,4)</f>
        <v>0.5597</v>
      </c>
      <c r="P100" s="7"/>
      <c r="R100" s="1" cm="1">
        <f t="array" ref="R100">INDEX(V$2:V$8,MATCH(O100,V$2:V$8)+1)</f>
        <v>0.6</v>
      </c>
      <c r="S100" s="1" cm="1">
        <f t="array" ref="S100">INDEX(W$2:W$8,MATCH(O100,V$2:V$8)+1)</f>
        <v>5</v>
      </c>
    </row>
    <row r="101" spans="1:16">
      <c r="A101" s="4"/>
      <c r="B101" s="4" t="s">
        <v>8</v>
      </c>
      <c r="C101" s="5">
        <f t="shared" ref="C101:N101" si="32">IF((C99-C100)&gt;0,C99-C100,0)</f>
        <v>30.2</v>
      </c>
      <c r="D101" s="5">
        <f t="shared" si="32"/>
        <v>42.7</v>
      </c>
      <c r="E101" s="5">
        <f t="shared" si="32"/>
        <v>73.7</v>
      </c>
      <c r="F101" s="5">
        <f t="shared" si="32"/>
        <v>75.8</v>
      </c>
      <c r="G101" s="5">
        <f t="shared" si="32"/>
        <v>64.5</v>
      </c>
      <c r="H101" s="5">
        <f t="shared" si="32"/>
        <v>0</v>
      </c>
      <c r="I101" s="5">
        <f t="shared" si="32"/>
        <v>0</v>
      </c>
      <c r="J101" s="5">
        <f t="shared" si="32"/>
        <v>0</v>
      </c>
      <c r="K101" s="5">
        <f t="shared" si="32"/>
        <v>0</v>
      </c>
      <c r="L101" s="5">
        <f t="shared" si="32"/>
        <v>11.3</v>
      </c>
      <c r="M101" s="5">
        <f t="shared" si="32"/>
        <v>11</v>
      </c>
      <c r="N101" s="5">
        <f t="shared" si="32"/>
        <v>19.2</v>
      </c>
      <c r="O101" s="9">
        <f>SUM(C101:N101)</f>
        <v>328.4</v>
      </c>
      <c r="P101" s="7"/>
    </row>
    <row r="102" spans="1:19">
      <c r="A102" s="4" t="s">
        <v>41</v>
      </c>
      <c r="B102" s="4" t="s">
        <v>6</v>
      </c>
      <c r="C102" s="5">
        <v>54.2</v>
      </c>
      <c r="D102" s="5">
        <v>69.4</v>
      </c>
      <c r="E102" s="5">
        <v>114.3</v>
      </c>
      <c r="F102" s="5">
        <v>123.3</v>
      </c>
      <c r="G102" s="5">
        <v>148.7</v>
      </c>
      <c r="H102" s="5">
        <v>118.8</v>
      </c>
      <c r="I102" s="5">
        <v>121.2</v>
      </c>
      <c r="J102" s="5">
        <v>116.9</v>
      </c>
      <c r="K102" s="5">
        <v>95.3</v>
      </c>
      <c r="L102" s="5">
        <v>76.4</v>
      </c>
      <c r="M102" s="5">
        <v>52.2</v>
      </c>
      <c r="N102" s="5">
        <v>44.8</v>
      </c>
      <c r="O102" s="8">
        <f>(C102+D102+K102+L102+M102+N102)/SUM(C102:N102)</f>
        <v>0.345486569793043</v>
      </c>
      <c r="P102" s="7" cm="1">
        <f t="array" ref="P102">ROUND(TREND(S102:S103,R102:R103,O103),2)</f>
        <v>5</v>
      </c>
      <c r="R102" s="1" cm="1">
        <f t="array" ref="R102">INDEX(V$2:V$8,MATCH(O103,V$2:V$8))</f>
        <v>0.4</v>
      </c>
      <c r="S102" s="1" cm="1">
        <f t="array" ref="S102">INDEX(W$2:W$8,MATCH(O103,V$2:V$8))</f>
        <v>5</v>
      </c>
    </row>
    <row r="103" spans="1:19">
      <c r="A103" s="4"/>
      <c r="B103" s="4" t="s">
        <v>7</v>
      </c>
      <c r="C103" s="5">
        <v>12.5</v>
      </c>
      <c r="D103" s="5">
        <v>11.1</v>
      </c>
      <c r="E103" s="5">
        <v>17.2</v>
      </c>
      <c r="F103" s="5">
        <v>41.9</v>
      </c>
      <c r="G103" s="5">
        <v>80.3</v>
      </c>
      <c r="H103" s="5">
        <v>142.6</v>
      </c>
      <c r="I103" s="5">
        <v>132.1</v>
      </c>
      <c r="J103" s="5">
        <v>133.3</v>
      </c>
      <c r="K103" s="5">
        <v>72.4</v>
      </c>
      <c r="L103" s="5">
        <v>74.1</v>
      </c>
      <c r="M103" s="5">
        <v>37.1</v>
      </c>
      <c r="N103" s="5">
        <v>26.9</v>
      </c>
      <c r="O103" s="8">
        <f>ROUND(1.152-0.726*O102-0.00107*O104,4)</f>
        <v>0.4677</v>
      </c>
      <c r="P103" s="7"/>
      <c r="R103" s="1" cm="1">
        <f t="array" ref="R103">INDEX(V$2:V$8,MATCH(O103,V$2:V$8)+1)</f>
        <v>0.5</v>
      </c>
      <c r="S103" s="1" cm="1">
        <f t="array" ref="S103">INDEX(W$2:W$8,MATCH(O103,V$2:V$8)+1)</f>
        <v>5</v>
      </c>
    </row>
    <row r="104" spans="1:16">
      <c r="A104" s="4"/>
      <c r="B104" s="4" t="s">
        <v>8</v>
      </c>
      <c r="C104" s="5">
        <f t="shared" ref="C104:N104" si="33">IF((C102-C103)&gt;0,C102-C103,0)</f>
        <v>41.7</v>
      </c>
      <c r="D104" s="5">
        <f t="shared" si="33"/>
        <v>58.3</v>
      </c>
      <c r="E104" s="5">
        <f t="shared" si="33"/>
        <v>97.1</v>
      </c>
      <c r="F104" s="5">
        <f t="shared" si="33"/>
        <v>81.4</v>
      </c>
      <c r="G104" s="5">
        <f t="shared" si="33"/>
        <v>68.4</v>
      </c>
      <c r="H104" s="5">
        <f t="shared" si="33"/>
        <v>0</v>
      </c>
      <c r="I104" s="5">
        <f t="shared" si="33"/>
        <v>0</v>
      </c>
      <c r="J104" s="5">
        <f t="shared" si="33"/>
        <v>0</v>
      </c>
      <c r="K104" s="5">
        <f t="shared" si="33"/>
        <v>22.9</v>
      </c>
      <c r="L104" s="5">
        <f t="shared" si="33"/>
        <v>2.30000000000001</v>
      </c>
      <c r="M104" s="5">
        <f t="shared" si="33"/>
        <v>15.1</v>
      </c>
      <c r="N104" s="5">
        <f t="shared" si="33"/>
        <v>17.9</v>
      </c>
      <c r="O104" s="9">
        <f>SUM(C104:N104)</f>
        <v>405.1</v>
      </c>
      <c r="P104" s="7"/>
    </row>
    <row r="105" spans="1:19">
      <c r="A105" s="4" t="s">
        <v>42</v>
      </c>
      <c r="B105" s="4" t="s">
        <v>6</v>
      </c>
      <c r="C105" s="5">
        <v>36.1</v>
      </c>
      <c r="D105" s="5">
        <v>45.8</v>
      </c>
      <c r="E105" s="5">
        <v>84.3</v>
      </c>
      <c r="F105" s="5">
        <v>104.4</v>
      </c>
      <c r="G105" s="5">
        <v>120.8</v>
      </c>
      <c r="H105" s="5">
        <v>94.5</v>
      </c>
      <c r="I105" s="5">
        <v>99.3</v>
      </c>
      <c r="J105" s="5">
        <v>93.6</v>
      </c>
      <c r="K105" s="5">
        <v>70.5</v>
      </c>
      <c r="L105" s="5">
        <v>59.5</v>
      </c>
      <c r="M105" s="5">
        <v>40.4</v>
      </c>
      <c r="N105" s="5">
        <v>34.3</v>
      </c>
      <c r="O105" s="8">
        <f>(C105+D105+K105+L105+M105+N105)/SUM(C105:N105)</f>
        <v>0.324391624221845</v>
      </c>
      <c r="P105" s="7" cm="1">
        <f t="array" ref="P105">ROUND(TREND(S105:S106,R105:R106,O106),2)</f>
        <v>3.97</v>
      </c>
      <c r="R105" s="1" cm="1">
        <f t="array" ref="R105">INDEX(V$2:V$8,MATCH(O106,V$2:V$8))</f>
        <v>0.7</v>
      </c>
      <c r="S105" s="1" cm="1">
        <f t="array" ref="S105">INDEX(W$2:W$8,MATCH(O106,V$2:V$8))</f>
        <v>4</v>
      </c>
    </row>
    <row r="106" spans="1:19">
      <c r="A106" s="4"/>
      <c r="B106" s="4" t="s">
        <v>7</v>
      </c>
      <c r="C106" s="5">
        <v>13.7</v>
      </c>
      <c r="D106" s="5">
        <v>12.4</v>
      </c>
      <c r="E106" s="5">
        <v>24.5</v>
      </c>
      <c r="F106" s="5">
        <v>61.6</v>
      </c>
      <c r="G106" s="5">
        <v>103.9</v>
      </c>
      <c r="H106" s="5">
        <v>154</v>
      </c>
      <c r="I106" s="5">
        <v>194.6</v>
      </c>
      <c r="J106" s="5">
        <v>175</v>
      </c>
      <c r="K106" s="5">
        <v>103.6</v>
      </c>
      <c r="L106" s="5">
        <v>64.9</v>
      </c>
      <c r="M106" s="5">
        <v>31.1</v>
      </c>
      <c r="N106" s="5">
        <v>23</v>
      </c>
      <c r="O106" s="8">
        <f>ROUND(1.152-0.726*O105-0.00107*O107,4)</f>
        <v>0.7069</v>
      </c>
      <c r="P106" s="7"/>
      <c r="R106" s="1" cm="1">
        <f t="array" ref="R106">INDEX(V$2:V$8,MATCH(O106,V$2:V$8)+1)</f>
        <v>0.8</v>
      </c>
      <c r="S106" s="1" cm="1">
        <f t="array" ref="S106">INDEX(W$2:W$8,MATCH(O106,V$2:V$8)+1)</f>
        <v>3.5</v>
      </c>
    </row>
    <row r="107" spans="1:16">
      <c r="A107" s="4"/>
      <c r="B107" s="4" t="s">
        <v>8</v>
      </c>
      <c r="C107" s="5">
        <f t="shared" ref="C107:N107" si="34">IF((C105-C106)&gt;0,C105-C106,0)</f>
        <v>22.4</v>
      </c>
      <c r="D107" s="5">
        <f t="shared" si="34"/>
        <v>33.4</v>
      </c>
      <c r="E107" s="5">
        <f t="shared" si="34"/>
        <v>59.8</v>
      </c>
      <c r="F107" s="5">
        <f t="shared" si="34"/>
        <v>42.8</v>
      </c>
      <c r="G107" s="5">
        <f t="shared" si="34"/>
        <v>16.9</v>
      </c>
      <c r="H107" s="5">
        <f t="shared" si="34"/>
        <v>0</v>
      </c>
      <c r="I107" s="5">
        <f t="shared" si="34"/>
        <v>0</v>
      </c>
      <c r="J107" s="5">
        <f t="shared" si="34"/>
        <v>0</v>
      </c>
      <c r="K107" s="5">
        <f t="shared" si="34"/>
        <v>0</v>
      </c>
      <c r="L107" s="5">
        <f t="shared" si="34"/>
        <v>0</v>
      </c>
      <c r="M107" s="5">
        <f t="shared" si="34"/>
        <v>9.3</v>
      </c>
      <c r="N107" s="5">
        <f t="shared" si="34"/>
        <v>11.3</v>
      </c>
      <c r="O107" s="9">
        <f>SUM(C107:N107)</f>
        <v>195.9</v>
      </c>
      <c r="P107" s="7"/>
    </row>
    <row r="108" spans="1:19">
      <c r="A108" s="4" t="s">
        <v>43</v>
      </c>
      <c r="B108" s="4" t="s">
        <v>6</v>
      </c>
      <c r="C108" s="5">
        <v>40.4</v>
      </c>
      <c r="D108" s="5">
        <v>58.4</v>
      </c>
      <c r="E108" s="5">
        <v>100.8</v>
      </c>
      <c r="F108" s="5">
        <v>117.6</v>
      </c>
      <c r="G108" s="5">
        <v>134.5</v>
      </c>
      <c r="H108" s="5">
        <v>102.3</v>
      </c>
      <c r="I108" s="5">
        <v>102.6</v>
      </c>
      <c r="J108" s="5">
        <v>97.7</v>
      </c>
      <c r="K108" s="5">
        <v>78.7</v>
      </c>
      <c r="L108" s="5">
        <v>66</v>
      </c>
      <c r="M108" s="5">
        <v>47.8</v>
      </c>
      <c r="N108" s="5">
        <v>41.3</v>
      </c>
      <c r="O108" s="8">
        <f>(C108+D108+K108+L108+M108+N108)/SUM(C108:N108)</f>
        <v>0.336605606719968</v>
      </c>
      <c r="P108" s="7" cm="1">
        <f t="array" ref="P108">ROUND(TREND(S108:S109,R108:R109,O109),2)</f>
        <v>5</v>
      </c>
      <c r="R108" s="1" cm="1">
        <f t="array" ref="R108">INDEX(V$2:V$8,MATCH(O109,V$2:V$8))</f>
        <v>0.5</v>
      </c>
      <c r="S108" s="1" cm="1">
        <f t="array" ref="S108">INDEX(W$2:W$8,MATCH(O109,V$2:V$8))</f>
        <v>5</v>
      </c>
    </row>
    <row r="109" spans="1:19">
      <c r="A109" s="4"/>
      <c r="B109" s="4" t="s">
        <v>7</v>
      </c>
      <c r="C109" s="5">
        <v>12.9</v>
      </c>
      <c r="D109" s="5">
        <v>16.4</v>
      </c>
      <c r="E109" s="5">
        <v>26.2</v>
      </c>
      <c r="F109" s="5">
        <v>45.9</v>
      </c>
      <c r="G109" s="5">
        <v>90.1</v>
      </c>
      <c r="H109" s="5">
        <v>131.8</v>
      </c>
      <c r="I109" s="5">
        <v>150.8</v>
      </c>
      <c r="J109" s="5">
        <v>150.5</v>
      </c>
      <c r="K109" s="5">
        <v>81.1</v>
      </c>
      <c r="L109" s="5">
        <v>52.8</v>
      </c>
      <c r="M109" s="5">
        <v>27.7</v>
      </c>
      <c r="N109" s="5">
        <v>19.8</v>
      </c>
      <c r="O109" s="8">
        <f>ROUND(1.152-0.726*O108-0.00107*O110,4)</f>
        <v>0.5706</v>
      </c>
      <c r="P109" s="7"/>
      <c r="R109" s="1" cm="1">
        <f t="array" ref="R109">INDEX(V$2:V$8,MATCH(O109,V$2:V$8)+1)</f>
        <v>0.6</v>
      </c>
      <c r="S109" s="1" cm="1">
        <f t="array" ref="S109">INDEX(W$2:W$8,MATCH(O109,V$2:V$8)+1)</f>
        <v>5</v>
      </c>
    </row>
    <row r="110" spans="1:16">
      <c r="A110" s="4"/>
      <c r="B110" s="4" t="s">
        <v>8</v>
      </c>
      <c r="C110" s="5">
        <f t="shared" ref="C110:N110" si="35">IF((C108-C109)&gt;0,C108-C109,0)</f>
        <v>27.5</v>
      </c>
      <c r="D110" s="5">
        <f t="shared" si="35"/>
        <v>42</v>
      </c>
      <c r="E110" s="5">
        <f t="shared" si="35"/>
        <v>74.6</v>
      </c>
      <c r="F110" s="5">
        <f t="shared" si="35"/>
        <v>71.7</v>
      </c>
      <c r="G110" s="5">
        <f t="shared" si="35"/>
        <v>44.4</v>
      </c>
      <c r="H110" s="5">
        <f t="shared" si="35"/>
        <v>0</v>
      </c>
      <c r="I110" s="5">
        <f t="shared" si="35"/>
        <v>0</v>
      </c>
      <c r="J110" s="5">
        <f t="shared" si="35"/>
        <v>0</v>
      </c>
      <c r="K110" s="5">
        <f t="shared" si="35"/>
        <v>0</v>
      </c>
      <c r="L110" s="5">
        <f t="shared" si="35"/>
        <v>13.2</v>
      </c>
      <c r="M110" s="5">
        <f t="shared" si="35"/>
        <v>20.1</v>
      </c>
      <c r="N110" s="5">
        <f t="shared" si="35"/>
        <v>21.5</v>
      </c>
      <c r="O110" s="9">
        <f>SUM(C110:N110)</f>
        <v>315</v>
      </c>
      <c r="P110" s="7"/>
    </row>
    <row r="111" spans="1:19">
      <c r="A111" s="4" t="s">
        <v>44</v>
      </c>
      <c r="B111" s="4" t="s">
        <v>6</v>
      </c>
      <c r="C111" s="5">
        <v>21</v>
      </c>
      <c r="D111" s="5">
        <v>25</v>
      </c>
      <c r="E111" s="5">
        <v>51.8</v>
      </c>
      <c r="F111" s="5">
        <v>70.3</v>
      </c>
      <c r="G111" s="5">
        <v>90.9</v>
      </c>
      <c r="H111" s="5">
        <v>92.7</v>
      </c>
      <c r="I111" s="5">
        <v>116.9</v>
      </c>
      <c r="J111" s="5">
        <v>110.1</v>
      </c>
      <c r="K111" s="5">
        <v>74.4</v>
      </c>
      <c r="L111" s="5">
        <v>46.7</v>
      </c>
      <c r="M111" s="5">
        <v>28.1</v>
      </c>
      <c r="N111" s="5">
        <v>21.1</v>
      </c>
      <c r="O111" s="8">
        <f>(C111+D111+K111+L111+M111+N111)/SUM(C111:N111)</f>
        <v>0.288785046728972</v>
      </c>
      <c r="P111" s="10" cm="1">
        <f t="array" ref="P111">ROUND(TREND(S111:S112,R111:R112,O112),2)</f>
        <v>3</v>
      </c>
      <c r="R111" s="1" cm="1">
        <f t="array" ref="R111">INDEX(V$2:V$8,MATCH(O112,V$2:V$8))</f>
        <v>0.9</v>
      </c>
      <c r="S111" s="1" cm="1">
        <f t="array" ref="S111">INDEX(W$2:W$8,MATCH(O112,V$2:V$8))</f>
        <v>3</v>
      </c>
    </row>
    <row r="112" spans="1:19">
      <c r="A112" s="4"/>
      <c r="B112" s="4" t="s">
        <v>7</v>
      </c>
      <c r="C112" s="5">
        <v>19.7</v>
      </c>
      <c r="D112" s="5">
        <v>21.8</v>
      </c>
      <c r="E112" s="5">
        <v>33.2</v>
      </c>
      <c r="F112" s="5">
        <v>108.3</v>
      </c>
      <c r="G112" s="5">
        <v>191.8</v>
      </c>
      <c r="H112" s="5">
        <v>213.2</v>
      </c>
      <c r="I112" s="5">
        <v>178.9</v>
      </c>
      <c r="J112" s="5">
        <v>142</v>
      </c>
      <c r="K112" s="5">
        <v>82.6</v>
      </c>
      <c r="L112" s="5">
        <v>89.2</v>
      </c>
      <c r="M112" s="5">
        <v>55.9</v>
      </c>
      <c r="N112" s="5">
        <v>25.7</v>
      </c>
      <c r="O112" s="8">
        <f>ROUND(1.152-0.726*O111-0.00107*O113,4)</f>
        <v>0.9176</v>
      </c>
      <c r="P112" s="10"/>
      <c r="R112" s="1" cm="1">
        <f t="array" ref="R112">INDEX(V$2:V$8,MATCH(O112,V$2:V$8)+1)</f>
        <v>1</v>
      </c>
      <c r="S112" s="1" cm="1">
        <f t="array" ref="S112">INDEX(W$2:W$8,MATCH(O112,V$2:V$8)+1)</f>
        <v>3</v>
      </c>
    </row>
    <row r="113" spans="2:16">
      <c r="B113" s="4" t="s">
        <v>8</v>
      </c>
      <c r="C113" s="5">
        <f t="shared" ref="C113:N113" si="36">IF((C111-C112)&gt;0,C111-C112,0)</f>
        <v>1.3</v>
      </c>
      <c r="D113" s="5">
        <f t="shared" si="36"/>
        <v>3.2</v>
      </c>
      <c r="E113" s="5">
        <f t="shared" si="36"/>
        <v>18.6</v>
      </c>
      <c r="F113" s="5">
        <f t="shared" si="36"/>
        <v>0</v>
      </c>
      <c r="G113" s="5">
        <f t="shared" si="36"/>
        <v>0</v>
      </c>
      <c r="H113" s="5">
        <f t="shared" si="36"/>
        <v>0</v>
      </c>
      <c r="I113" s="5">
        <f t="shared" si="36"/>
        <v>0</v>
      </c>
      <c r="J113" s="5">
        <f t="shared" si="36"/>
        <v>0</v>
      </c>
      <c r="K113" s="5">
        <f t="shared" si="36"/>
        <v>0</v>
      </c>
      <c r="L113" s="5">
        <f t="shared" si="36"/>
        <v>0</v>
      </c>
      <c r="M113" s="5">
        <f t="shared" si="36"/>
        <v>0</v>
      </c>
      <c r="N113" s="5">
        <f t="shared" si="36"/>
        <v>0</v>
      </c>
      <c r="O113" s="9">
        <f>SUM(C113:N113)</f>
        <v>23.1</v>
      </c>
      <c r="P113" s="10"/>
    </row>
    <row r="114" spans="15:16">
      <c r="O114" s="8"/>
      <c r="P114" s="11"/>
    </row>
    <row r="115" spans="15:16">
      <c r="O115" s="8"/>
      <c r="P115" s="11"/>
    </row>
    <row r="116" spans="15:16">
      <c r="O116" s="9"/>
      <c r="P116" s="11"/>
    </row>
    <row r="117" spans="15:16">
      <c r="O117" s="8"/>
      <c r="P117" s="11"/>
    </row>
    <row r="118" spans="15:16">
      <c r="O118" s="8"/>
      <c r="P118" s="11"/>
    </row>
    <row r="119" spans="15:16">
      <c r="O119" s="9"/>
      <c r="P119" s="11"/>
    </row>
    <row r="120" spans="15:16">
      <c r="O120" s="8"/>
      <c r="P120" s="11"/>
    </row>
    <row r="121" spans="15:16">
      <c r="O121" s="8"/>
      <c r="P121" s="11"/>
    </row>
    <row r="122" spans="15:16">
      <c r="O122" s="9"/>
      <c r="P122" s="11"/>
    </row>
  </sheetData>
  <mergeCells count="89">
    <mergeCell ref="A1:A2"/>
    <mergeCell ref="A3:A4"/>
    <mergeCell ref="A6:A7"/>
    <mergeCell ref="A9:A10"/>
    <mergeCell ref="A12:A13"/>
    <mergeCell ref="A15:A16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54:A55"/>
    <mergeCell ref="A57:A58"/>
    <mergeCell ref="A60:A61"/>
    <mergeCell ref="A63:A64"/>
    <mergeCell ref="A66:A67"/>
    <mergeCell ref="A69:A70"/>
    <mergeCell ref="A72:A73"/>
    <mergeCell ref="A75:A76"/>
    <mergeCell ref="A78:A79"/>
    <mergeCell ref="A81:A82"/>
    <mergeCell ref="A84:A85"/>
    <mergeCell ref="A87:A88"/>
    <mergeCell ref="A90:A91"/>
    <mergeCell ref="A93:A94"/>
    <mergeCell ref="A96:A97"/>
    <mergeCell ref="A99:A100"/>
    <mergeCell ref="A102:A103"/>
    <mergeCell ref="A105:A106"/>
    <mergeCell ref="A108:A109"/>
    <mergeCell ref="A111:A11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P3:P5"/>
    <mergeCell ref="P6:P8"/>
    <mergeCell ref="P9:P11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39:P41"/>
    <mergeCell ref="P42:P44"/>
    <mergeCell ref="P45:P47"/>
    <mergeCell ref="P48:P50"/>
    <mergeCell ref="P51:P53"/>
    <mergeCell ref="P54:P56"/>
    <mergeCell ref="P57:P59"/>
    <mergeCell ref="P60:P62"/>
    <mergeCell ref="P63:P65"/>
    <mergeCell ref="P66:P68"/>
    <mergeCell ref="P69:P71"/>
    <mergeCell ref="P72:P74"/>
    <mergeCell ref="P75:P77"/>
    <mergeCell ref="P78:P80"/>
    <mergeCell ref="P81:P83"/>
    <mergeCell ref="P84:P86"/>
    <mergeCell ref="P87:P89"/>
    <mergeCell ref="P90:P92"/>
    <mergeCell ref="P93:P95"/>
    <mergeCell ref="P96:P98"/>
    <mergeCell ref="P99:P101"/>
    <mergeCell ref="P102:P104"/>
    <mergeCell ref="P105:P107"/>
    <mergeCell ref="P108:P110"/>
    <mergeCell ref="P111:P1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Zine</cp:lastModifiedBy>
  <dcterms:created xsi:type="dcterms:W3CDTF">2024-08-03T16:39:00Z</dcterms:created>
  <dcterms:modified xsi:type="dcterms:W3CDTF">2025-09-07T07:59:55Z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2024-08-03T08:39:31Z</vt:filetime>
  </property>
  <property fmtid="{D5CDD505-2E9C-101B-9397-08002B2CF9AE}" pid="4" name="UsrData">
    <vt:lpwstr>66adecc1ae172f001f7d6b77wl</vt:lpwstr>
  </property>
  <property fmtid="{D5CDD505-2E9C-101B-9397-08002B2CF9AE}" pid="5" name="ICV">
    <vt:lpwstr>7435ABE5058848C8909D2FABDE6962E4_13</vt:lpwstr>
  </property>
  <property fmtid="{D5CDD505-2E9C-101B-9397-08002B2CF9AE}" pid="6" name="KSOProductBuildVer">
    <vt:lpwstr>2052-12.1.0.21915</vt:lpwstr>
  </property>
</Properties>
</file>